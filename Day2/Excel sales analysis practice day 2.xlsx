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yshn\OneDrive\Documents\"/>
    </mc:Choice>
  </mc:AlternateContent>
  <xr:revisionPtr revIDLastSave="0" documentId="8_{E6BDE14F-0AC8-43C2-AA84-4BCA178C8134}" xr6:coauthVersionLast="47" xr6:coauthVersionMax="47" xr10:uidLastSave="{00000000-0000-0000-0000-000000000000}"/>
  <bookViews>
    <workbookView xWindow="-108" yWindow="-108" windowWidth="23256" windowHeight="12456" firstSheet="1" activeTab="5" xr2:uid="{20EECEA2-6C5D-4479-90F7-8BA8ECD708F5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1" sheetId="1" r:id="rId6"/>
  </sheets>
  <calcPr calcId="191029"/>
  <pivotCaches>
    <pivotCache cacheId="10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  <c r="K9" i="1"/>
  <c r="K3" i="1"/>
  <c r="K4" i="1"/>
  <c r="K5" i="1"/>
  <c r="K6" i="1"/>
  <c r="K7" i="1"/>
  <c r="K8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<sst xmlns="http://schemas.openxmlformats.org/spreadsheetml/2006/main" count="72" uniqueCount="38">
  <si>
    <t>OrderID</t>
  </si>
  <si>
    <t>Customer</t>
  </si>
  <si>
    <t>Email</t>
  </si>
  <si>
    <t>Product</t>
  </si>
  <si>
    <t>Region</t>
  </si>
  <si>
    <t>Quantity</t>
  </si>
  <si>
    <t>Price</t>
  </si>
  <si>
    <t>Ravi</t>
  </si>
  <si>
    <t>ravi@gmail.com</t>
  </si>
  <si>
    <t>Laptop</t>
  </si>
  <si>
    <t>South</t>
  </si>
  <si>
    <t>Anjali</t>
  </si>
  <si>
    <t>anjali@gmail.com</t>
  </si>
  <si>
    <t>Phone</t>
  </si>
  <si>
    <t>North</t>
  </si>
  <si>
    <t>Kiran</t>
  </si>
  <si>
    <t>kiran@gmail.com</t>
  </si>
  <si>
    <t>Table</t>
  </si>
  <si>
    <t>West</t>
  </si>
  <si>
    <t>Sneha</t>
  </si>
  <si>
    <t>sneha@gmail.com</t>
  </si>
  <si>
    <t>Chair</t>
  </si>
  <si>
    <t>Rahul</t>
  </si>
  <si>
    <t>rahul@gmail.com</t>
  </si>
  <si>
    <t>East</t>
  </si>
  <si>
    <t>Divya</t>
  </si>
  <si>
    <t>divya@gmail.com</t>
  </si>
  <si>
    <t>Total Sales</t>
  </si>
  <si>
    <t>Countid</t>
  </si>
  <si>
    <t>Status</t>
  </si>
  <si>
    <t>Row Labels</t>
  </si>
  <si>
    <t>Grand Total</t>
  </si>
  <si>
    <t>Sum of Total Sales</t>
  </si>
  <si>
    <t>Customers</t>
  </si>
  <si>
    <t xml:space="preserve"> Email Type</t>
  </si>
  <si>
    <t>Sum of Countid</t>
  </si>
  <si>
    <t>New Customer</t>
  </si>
  <si>
    <t>Repeated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</si>
</sst>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 practice day 2.xlsx]Sheet2!PivotTable1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Anjali</c:v>
                </c:pt>
                <c:pt idx="1">
                  <c:v>Divya</c:v>
                </c:pt>
                <c:pt idx="2">
                  <c:v>Kiran</c:v>
                </c:pt>
                <c:pt idx="3">
                  <c:v>Rahul</c:v>
                </c:pt>
                <c:pt idx="4">
                  <c:v>Ravi</c:v>
                </c:pt>
                <c:pt idx="5">
                  <c:v>Sneha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20000</c:v>
                </c:pt>
                <c:pt idx="1">
                  <c:v>60000</c:v>
                </c:pt>
                <c:pt idx="2">
                  <c:v>17400</c:v>
                </c:pt>
                <c:pt idx="3">
                  <c:v>4000</c:v>
                </c:pt>
                <c:pt idx="4">
                  <c:v>128000</c:v>
                </c:pt>
                <c:pt idx="5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7-49C8-B044-F3A063A35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8393904"/>
        <c:axId val="1568394384"/>
      </c:barChart>
      <c:catAx>
        <c:axId val="15683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394384"/>
        <c:crosses val="autoZero"/>
        <c:auto val="1"/>
        <c:lblAlgn val="ctr"/>
        <c:lblOffset val="100"/>
        <c:noMultiLvlLbl val="0"/>
      </c:catAx>
      <c:valAx>
        <c:axId val="15683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3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 practice day 2.xlsx]Sheet2!PivotTable1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Customer by</a:t>
            </a:r>
            <a:r>
              <a:rPr lang="en-IN" baseline="0"/>
              <a:t> Sales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Anjali</c:v>
                </c:pt>
                <c:pt idx="1">
                  <c:v>Divya</c:v>
                </c:pt>
                <c:pt idx="2">
                  <c:v>Kiran</c:v>
                </c:pt>
                <c:pt idx="3">
                  <c:v>Rahul</c:v>
                </c:pt>
                <c:pt idx="4">
                  <c:v>Ravi</c:v>
                </c:pt>
                <c:pt idx="5">
                  <c:v>Sneha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20000</c:v>
                </c:pt>
                <c:pt idx="1">
                  <c:v>60000</c:v>
                </c:pt>
                <c:pt idx="2">
                  <c:v>17400</c:v>
                </c:pt>
                <c:pt idx="3">
                  <c:v>4000</c:v>
                </c:pt>
                <c:pt idx="4">
                  <c:v>128000</c:v>
                </c:pt>
                <c:pt idx="5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68-4723-92EF-4DB8401F4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093616"/>
        <c:axId val="1851088816"/>
      </c:barChart>
      <c:catAx>
        <c:axId val="18510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88816"/>
        <c:crosses val="autoZero"/>
        <c:auto val="1"/>
        <c:lblAlgn val="ctr"/>
        <c:lblOffset val="100"/>
        <c:noMultiLvlLbl val="0"/>
      </c:catAx>
      <c:valAx>
        <c:axId val="18510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9361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 practice day 2.xlsx]Sheet4!PivotTable2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4000</c:v>
                </c:pt>
                <c:pt idx="1">
                  <c:v>80000</c:v>
                </c:pt>
                <c:pt idx="2">
                  <c:v>135500</c:v>
                </c:pt>
                <c:pt idx="3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B-47E9-A5ED-FA435C56B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093616"/>
        <c:axId val="1851088816"/>
      </c:barChart>
      <c:catAx>
        <c:axId val="18510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88816"/>
        <c:crosses val="autoZero"/>
        <c:auto val="1"/>
        <c:lblAlgn val="ctr"/>
        <c:lblOffset val="100"/>
        <c:noMultiLvlLbl val="0"/>
      </c:catAx>
      <c:valAx>
        <c:axId val="18510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9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 practice day 2.xlsx]Sheet5!PivotTable3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Chair</c:v>
                </c:pt>
                <c:pt idx="1">
                  <c:v>Laptop</c:v>
                </c:pt>
                <c:pt idx="2">
                  <c:v>Phone</c:v>
                </c:pt>
                <c:pt idx="3">
                  <c:v>Table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9900</c:v>
                </c:pt>
                <c:pt idx="1">
                  <c:v>170000</c:v>
                </c:pt>
                <c:pt idx="2">
                  <c:v>42000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1-419B-8CEC-4BA9077F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1105616"/>
        <c:axId val="1851112336"/>
      </c:barChart>
      <c:catAx>
        <c:axId val="185110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12336"/>
        <c:crosses val="autoZero"/>
        <c:auto val="1"/>
        <c:lblAlgn val="ctr"/>
        <c:lblOffset val="100"/>
        <c:noMultiLvlLbl val="0"/>
      </c:catAx>
      <c:valAx>
        <c:axId val="18511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0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 practice day 2.xlsx]Sheet6!PivotTable4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37-446D-B0E4-0FFF4F67C42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37-446D-B0E4-0FFF4F67C427}"/>
              </c:ext>
            </c:extLst>
          </c:dPt>
          <c:cat>
            <c:strRef>
              <c:f>Sheet6!$A$4:$A$6</c:f>
              <c:strCache>
                <c:ptCount val="2"/>
                <c:pt idx="0">
                  <c:v>New Customer</c:v>
                </c:pt>
                <c:pt idx="1">
                  <c:v>Repeated Customer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37-446D-B0E4-0FFF4F67C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6</xdr:row>
      <xdr:rowOff>41910</xdr:rowOff>
    </xdr:from>
    <xdr:to>
      <xdr:col>9</xdr:col>
      <xdr:colOff>167640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8F32E-279D-2717-116E-F92BCD22A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2</xdr:row>
      <xdr:rowOff>160020</xdr:rowOff>
    </xdr:from>
    <xdr:to>
      <xdr:col>6</xdr:col>
      <xdr:colOff>441960</xdr:colOff>
      <xdr:row>14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AFA01-95E8-40C4-8425-18594B06E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2</xdr:row>
      <xdr:rowOff>76200</xdr:rowOff>
    </xdr:from>
    <xdr:to>
      <xdr:col>15</xdr:col>
      <xdr:colOff>76200</xdr:colOff>
      <xdr:row>13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51E50A-66C2-451A-99EA-2FEF86961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14</xdr:row>
      <xdr:rowOff>160020</xdr:rowOff>
    </xdr:from>
    <xdr:to>
      <xdr:col>9</xdr:col>
      <xdr:colOff>548640</xdr:colOff>
      <xdr:row>27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83AFBE-D97F-477E-B579-25E9C1E6F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99060</xdr:colOff>
      <xdr:row>14</xdr:row>
      <xdr:rowOff>129540</xdr:rowOff>
    </xdr:from>
    <xdr:to>
      <xdr:col>17</xdr:col>
      <xdr:colOff>251460</xdr:colOff>
      <xdr:row>26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8340F0-B77E-4AF4-86AF-5B96CF56F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144780</xdr:colOff>
      <xdr:row>0</xdr:row>
      <xdr:rowOff>129540</xdr:rowOff>
    </xdr:from>
    <xdr:ext cx="2156460" cy="289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8AD4B3A-7A11-7E58-5EEA-ED2D4F263BA7}"/>
            </a:ext>
          </a:extLst>
        </xdr:cNvPr>
        <xdr:cNvSpPr txBox="1"/>
      </xdr:nvSpPr>
      <xdr:spPr>
        <a:xfrm>
          <a:off x="3802380" y="129540"/>
          <a:ext cx="2156460" cy="289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Excel</a:t>
          </a:r>
          <a:r>
            <a:rPr lang="en-IN" sz="1400" b="1" baseline="0"/>
            <a:t> Sales Data Analysis</a:t>
          </a:r>
          <a:endParaRPr lang="en-IN" sz="14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navi garapati" refreshedDate="46117.515487500001" createdVersion="8" refreshedVersion="8" minRefreshableVersion="3" recordCount="8" xr:uid="{80FC6323-A871-44F8-B2AC-B7B15FD3A9B4}">
  <cacheSource type="worksheet">
    <worksheetSource ref="A1:L9" sheet="Sheet1"/>
  </cacheSource>
  <cacheFields count="12">
    <cacheField name="OrderID" numFmtId="0">
      <sharedItems containsSemiMixedTypes="0" containsString="0" containsNumber="1" containsInteger="1" minValue="101" maxValue="108"/>
    </cacheField>
    <cacheField name="Customer" numFmtId="0">
      <sharedItems count="6">
        <s v="Ravi"/>
        <s v="Anjali"/>
        <s v="Kiran"/>
        <s v="Sneha"/>
        <s v="Rahul"/>
        <s v="Divya"/>
      </sharedItems>
    </cacheField>
    <cacheField name="Email" numFmtId="0">
      <sharedItems/>
    </cacheField>
    <cacheField name="Product" numFmtId="0">
      <sharedItems count="4">
        <s v="Laptop"/>
        <s v="Phone"/>
        <s v="Table"/>
        <s v="Chair"/>
      </sharedItems>
    </cacheField>
    <cacheField name="Region" numFmtId="0">
      <sharedItems count="4">
        <s v="South"/>
        <s v="North"/>
        <s v="West"/>
        <s v="East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200" maxValue="60000"/>
    </cacheField>
    <cacheField name="Total Sales" numFmtId="0">
      <sharedItems containsSemiMixedTypes="0" containsString="0" containsNumber="1" containsInteger="1" minValue="2400" maxValue="110000"/>
    </cacheField>
    <cacheField name="Countid" numFmtId="0">
      <sharedItems containsSemiMixedTypes="0" containsString="0" containsNumber="1" containsInteger="1" minValue="1" maxValue="1"/>
    </cacheField>
    <cacheField name="Email2" numFmtId="0">
      <sharedItems containsSemiMixedTypes="0" containsString="0" containsNumber="1" containsInteger="1" minValue="1" maxValue="2" count="2">
        <n v="2"/>
        <n v="1"/>
      </sharedItems>
    </cacheField>
    <cacheField name="Status" numFmtId="0">
      <sharedItems/>
    </cacheField>
    <cacheField name="Email3" numFmtId="0">
      <sharedItems count="2">
        <s v="Repeated Customer"/>
        <s v="New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1"/>
    <x v="0"/>
    <s v="ravi@gmail.com"/>
    <x v="0"/>
    <x v="0"/>
    <n v="2"/>
    <n v="55000"/>
    <n v="110000"/>
    <n v="1"/>
    <x v="0"/>
    <s v="Unique"/>
    <x v="0"/>
  </r>
  <r>
    <n v="102"/>
    <x v="1"/>
    <s v="anjali@gmail.com"/>
    <x v="1"/>
    <x v="1"/>
    <n v="1"/>
    <n v="20000"/>
    <n v="20000"/>
    <n v="1"/>
    <x v="1"/>
    <s v="Unique"/>
    <x v="1"/>
  </r>
  <r>
    <n v="103"/>
    <x v="2"/>
    <s v="kiran@gmail.com"/>
    <x v="2"/>
    <x v="2"/>
    <n v="3"/>
    <n v="5000"/>
    <n v="15000"/>
    <n v="1"/>
    <x v="0"/>
    <s v="Unique"/>
    <x v="0"/>
  </r>
  <r>
    <n v="104"/>
    <x v="3"/>
    <s v="sneha@gmail.com"/>
    <x v="3"/>
    <x v="0"/>
    <n v="5"/>
    <n v="1500"/>
    <n v="7500"/>
    <n v="1"/>
    <x v="1"/>
    <s v="Unique"/>
    <x v="1"/>
  </r>
  <r>
    <n v="105"/>
    <x v="4"/>
    <s v="rahul@gmail.com"/>
    <x v="1"/>
    <x v="3"/>
    <n v="2"/>
    <n v="2000"/>
    <n v="4000"/>
    <n v="1"/>
    <x v="1"/>
    <s v="Unique"/>
    <x v="1"/>
  </r>
  <r>
    <n v="106"/>
    <x v="5"/>
    <s v="divya@gmail.com"/>
    <x v="0"/>
    <x v="1"/>
    <n v="1"/>
    <n v="60000"/>
    <n v="60000"/>
    <n v="1"/>
    <x v="1"/>
    <s v="Unique"/>
    <x v="1"/>
  </r>
  <r>
    <n v="107"/>
    <x v="0"/>
    <s v="ravi@gmail.com"/>
    <x v="1"/>
    <x v="0"/>
    <n v="1"/>
    <n v="18000"/>
    <n v="18000"/>
    <n v="1"/>
    <x v="0"/>
    <s v="Unique"/>
    <x v="0"/>
  </r>
  <r>
    <n v="108"/>
    <x v="2"/>
    <s v="kiran@gmail.com"/>
    <x v="3"/>
    <x v="2"/>
    <n v="2"/>
    <n v="1200"/>
    <n v="2400"/>
    <n v="1"/>
    <x v="0"/>
    <s v="Uniqu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50FDA-460A-4EEB-B824-4A269133070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Customers">
  <location ref="A3:B10" firstHeaderRow="1" firstDataRow="1" firstDataCol="1"/>
  <pivotFields count="12">
    <pivotField showAll="0"/>
    <pivotField axis="axisRow" showAll="0">
      <items count="7">
        <item x="1"/>
        <item x="5"/>
        <item x="2"/>
        <item x="4"/>
        <item x="0"/>
        <item x="3"/>
        <item t="default"/>
      </items>
    </pivotField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E081D-B0BB-441F-84A5-13B69452ADA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8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92E17-778E-4D08-85C1-9D0C722C501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DD178-0590-4EF0-97DE-8BD51B17B7B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Countid" fld="8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0400-E971-4C37-B2F3-49090D6113DE}">
  <dimension ref="A3:B10"/>
  <sheetViews>
    <sheetView workbookViewId="0">
      <selection activeCell="A7" sqref="A4:A9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33</v>
      </c>
      <c r="B3" t="s">
        <v>32</v>
      </c>
    </row>
    <row r="4" spans="1:2" x14ac:dyDescent="0.3">
      <c r="A4" s="2" t="s">
        <v>11</v>
      </c>
      <c r="B4" s="3">
        <v>20000</v>
      </c>
    </row>
    <row r="5" spans="1:2" x14ac:dyDescent="0.3">
      <c r="A5" s="2" t="s">
        <v>25</v>
      </c>
      <c r="B5" s="3">
        <v>60000</v>
      </c>
    </row>
    <row r="6" spans="1:2" x14ac:dyDescent="0.3">
      <c r="A6" s="2" t="s">
        <v>15</v>
      </c>
      <c r="B6" s="3">
        <v>17400</v>
      </c>
    </row>
    <row r="7" spans="1:2" x14ac:dyDescent="0.3">
      <c r="A7" s="2" t="s">
        <v>22</v>
      </c>
      <c r="B7" s="3">
        <v>4000</v>
      </c>
    </row>
    <row r="8" spans="1:2" x14ac:dyDescent="0.3">
      <c r="A8" s="2" t="s">
        <v>7</v>
      </c>
      <c r="B8" s="3">
        <v>128000</v>
      </c>
    </row>
    <row r="9" spans="1:2" x14ac:dyDescent="0.3">
      <c r="A9" s="2" t="s">
        <v>19</v>
      </c>
      <c r="B9" s="3">
        <v>7500</v>
      </c>
    </row>
    <row r="10" spans="1:2" x14ac:dyDescent="0.3">
      <c r="A10" s="2" t="s">
        <v>31</v>
      </c>
      <c r="B10" s="3">
        <v>236900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1621-1FE5-4C45-88C6-98A7AA3AC4E3}">
  <dimension ref="A1"/>
  <sheetViews>
    <sheetView zoomScaleNormal="100" workbookViewId="0"/>
  </sheetViews>
  <sheetFormatPr defaultRowHeight="14.4" x14ac:dyDescent="0.3"/>
  <cols>
    <col min="1" max="1" width="8.88671875" style="4" customWidth="1"/>
    <col min="2" max="16384" width="8.88671875" style="4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83D3-0D57-4C5D-8871-AF68263FB9E8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30</v>
      </c>
      <c r="B3" t="s">
        <v>32</v>
      </c>
    </row>
    <row r="4" spans="1:2" x14ac:dyDescent="0.3">
      <c r="A4" s="2" t="s">
        <v>24</v>
      </c>
      <c r="B4" s="3">
        <v>4000</v>
      </c>
    </row>
    <row r="5" spans="1:2" x14ac:dyDescent="0.3">
      <c r="A5" s="2" t="s">
        <v>14</v>
      </c>
      <c r="B5" s="3">
        <v>80000</v>
      </c>
    </row>
    <row r="6" spans="1:2" x14ac:dyDescent="0.3">
      <c r="A6" s="2" t="s">
        <v>10</v>
      </c>
      <c r="B6" s="3">
        <v>135500</v>
      </c>
    </row>
    <row r="7" spans="1:2" x14ac:dyDescent="0.3">
      <c r="A7" s="2" t="s">
        <v>18</v>
      </c>
      <c r="B7" s="3">
        <v>17400</v>
      </c>
    </row>
    <row r="8" spans="1:2" x14ac:dyDescent="0.3">
      <c r="A8" s="2" t="s">
        <v>31</v>
      </c>
      <c r="B8" s="3">
        <v>236900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2AA7-D1A0-4E5D-8F87-6E65763EF386}">
  <dimension ref="A3:B8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30</v>
      </c>
      <c r="B3" t="s">
        <v>32</v>
      </c>
    </row>
    <row r="4" spans="1:2" x14ac:dyDescent="0.3">
      <c r="A4" s="2" t="s">
        <v>21</v>
      </c>
      <c r="B4" s="3">
        <v>9900</v>
      </c>
    </row>
    <row r="5" spans="1:2" x14ac:dyDescent="0.3">
      <c r="A5" s="2" t="s">
        <v>9</v>
      </c>
      <c r="B5" s="3">
        <v>170000</v>
      </c>
    </row>
    <row r="6" spans="1:2" x14ac:dyDescent="0.3">
      <c r="A6" s="2" t="s">
        <v>13</v>
      </c>
      <c r="B6" s="3">
        <v>42000</v>
      </c>
    </row>
    <row r="7" spans="1:2" x14ac:dyDescent="0.3">
      <c r="A7" s="2" t="s">
        <v>17</v>
      </c>
      <c r="B7" s="3">
        <v>15000</v>
      </c>
    </row>
    <row r="8" spans="1:2" x14ac:dyDescent="0.3">
      <c r="A8" s="2" t="s">
        <v>31</v>
      </c>
      <c r="B8" s="3">
        <v>236900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F64A-EABC-4E50-858B-AA29186339BB}">
  <dimension ref="A3:B6"/>
  <sheetViews>
    <sheetView workbookViewId="0">
      <selection activeCell="B4" sqref="B4"/>
    </sheetView>
  </sheetViews>
  <sheetFormatPr defaultRowHeight="14.4" x14ac:dyDescent="0.3"/>
  <cols>
    <col min="1" max="1" width="17.33203125" bestFit="1" customWidth="1"/>
    <col min="2" max="2" width="14.21875" bestFit="1" customWidth="1"/>
  </cols>
  <sheetData>
    <row r="3" spans="1:2" x14ac:dyDescent="0.3">
      <c r="A3" s="1" t="s">
        <v>30</v>
      </c>
      <c r="B3" t="s">
        <v>35</v>
      </c>
    </row>
    <row r="4" spans="1:2" x14ac:dyDescent="0.3">
      <c r="A4" s="2" t="s">
        <v>36</v>
      </c>
      <c r="B4" s="3">
        <v>4</v>
      </c>
    </row>
    <row r="5" spans="1:2" x14ac:dyDescent="0.3">
      <c r="A5" s="2" t="s">
        <v>37</v>
      </c>
      <c r="B5" s="3">
        <v>4</v>
      </c>
    </row>
    <row r="6" spans="1:2" x14ac:dyDescent="0.3">
      <c r="A6" s="2" t="s">
        <v>31</v>
      </c>
      <c r="B6" s="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B5F7-B85D-452F-9023-D5CFA454C35C}">
  <dimension ref="A1:L9"/>
  <sheetViews>
    <sheetView tabSelected="1" workbookViewId="0">
      <selection activeCell="K11" sqref="K11"/>
    </sheetView>
  </sheetViews>
  <sheetFormatPr defaultRowHeight="14.4" x14ac:dyDescent="0.3"/>
  <cols>
    <col min="3" max="3" width="15.6640625" customWidth="1"/>
    <col min="12" max="12" width="17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28</v>
      </c>
      <c r="J1" t="s">
        <v>2</v>
      </c>
      <c r="K1" t="s">
        <v>29</v>
      </c>
      <c r="L1" t="s">
        <v>34</v>
      </c>
    </row>
    <row r="2" spans="1:12" x14ac:dyDescent="0.3">
      <c r="A2">
        <v>101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55000</v>
      </c>
      <c r="H2">
        <f t="shared" ref="H2:H9" si="0">G2*F2</f>
        <v>110000</v>
      </c>
      <c r="I2">
        <f t="shared" ref="I2:I9" si="1">COUNTIF(A:A,A2)</f>
        <v>1</v>
      </c>
      <c r="J2">
        <f t="shared" ref="J2:J9" si="2">COUNTIF(C:C,C2)</f>
        <v>2</v>
      </c>
      <c r="K2" t="str">
        <f t="shared" ref="K2:K9" si="3">IF(COUNTIF(A:A,A2)&gt;1,"Duplicate","Unique")</f>
        <v>Unique</v>
      </c>
      <c r="L2" t="str">
        <f t="shared" ref="L2:L9" si="4">IF(COUNTIF(C:C,C2)&gt;1, "Repeated Customer","New Customer")</f>
        <v>Repeated Customer</v>
      </c>
    </row>
    <row r="3" spans="1:12" x14ac:dyDescent="0.3">
      <c r="A3">
        <v>102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>
        <v>20000</v>
      </c>
      <c r="H3">
        <f t="shared" si="0"/>
        <v>20000</v>
      </c>
      <c r="I3">
        <f t="shared" si="1"/>
        <v>1</v>
      </c>
      <c r="J3">
        <f t="shared" si="2"/>
        <v>1</v>
      </c>
      <c r="K3" t="str">
        <f t="shared" si="3"/>
        <v>Unique</v>
      </c>
      <c r="L3" t="str">
        <f t="shared" si="4"/>
        <v>New Customer</v>
      </c>
    </row>
    <row r="4" spans="1:12" x14ac:dyDescent="0.3">
      <c r="A4">
        <v>103</v>
      </c>
      <c r="B4" t="s">
        <v>15</v>
      </c>
      <c r="C4" t="s">
        <v>16</v>
      </c>
      <c r="D4" t="s">
        <v>17</v>
      </c>
      <c r="E4" t="s">
        <v>18</v>
      </c>
      <c r="F4">
        <v>3</v>
      </c>
      <c r="G4">
        <v>5000</v>
      </c>
      <c r="H4">
        <f t="shared" si="0"/>
        <v>15000</v>
      </c>
      <c r="I4">
        <f t="shared" si="1"/>
        <v>1</v>
      </c>
      <c r="J4">
        <f t="shared" si="2"/>
        <v>2</v>
      </c>
      <c r="K4" t="str">
        <f t="shared" si="3"/>
        <v>Unique</v>
      </c>
      <c r="L4" t="str">
        <f t="shared" si="4"/>
        <v>Repeated Customer</v>
      </c>
    </row>
    <row r="5" spans="1:12" x14ac:dyDescent="0.3">
      <c r="A5">
        <v>104</v>
      </c>
      <c r="B5" t="s">
        <v>19</v>
      </c>
      <c r="C5" t="s">
        <v>20</v>
      </c>
      <c r="D5" t="s">
        <v>21</v>
      </c>
      <c r="E5" t="s">
        <v>10</v>
      </c>
      <c r="F5">
        <v>5</v>
      </c>
      <c r="G5">
        <v>1500</v>
      </c>
      <c r="H5">
        <f t="shared" si="0"/>
        <v>7500</v>
      </c>
      <c r="I5">
        <f t="shared" si="1"/>
        <v>1</v>
      </c>
      <c r="J5">
        <f t="shared" si="2"/>
        <v>1</v>
      </c>
      <c r="K5" t="str">
        <f t="shared" si="3"/>
        <v>Unique</v>
      </c>
      <c r="L5" t="str">
        <f t="shared" si="4"/>
        <v>New Customer</v>
      </c>
    </row>
    <row r="6" spans="1:12" x14ac:dyDescent="0.3">
      <c r="A6">
        <v>105</v>
      </c>
      <c r="B6" t="s">
        <v>22</v>
      </c>
      <c r="C6" t="s">
        <v>23</v>
      </c>
      <c r="D6" t="s">
        <v>13</v>
      </c>
      <c r="E6" t="s">
        <v>24</v>
      </c>
      <c r="F6">
        <v>2</v>
      </c>
      <c r="G6">
        <v>2000</v>
      </c>
      <c r="H6">
        <f t="shared" si="0"/>
        <v>4000</v>
      </c>
      <c r="I6">
        <f t="shared" si="1"/>
        <v>1</v>
      </c>
      <c r="J6">
        <f t="shared" si="2"/>
        <v>1</v>
      </c>
      <c r="K6" t="str">
        <f t="shared" si="3"/>
        <v>Unique</v>
      </c>
      <c r="L6" t="str">
        <f t="shared" si="4"/>
        <v>New Customer</v>
      </c>
    </row>
    <row r="7" spans="1:12" x14ac:dyDescent="0.3">
      <c r="A7">
        <v>106</v>
      </c>
      <c r="B7" t="s">
        <v>25</v>
      </c>
      <c r="C7" t="s">
        <v>26</v>
      </c>
      <c r="D7" t="s">
        <v>9</v>
      </c>
      <c r="E7" t="s">
        <v>14</v>
      </c>
      <c r="F7">
        <v>1</v>
      </c>
      <c r="G7">
        <v>60000</v>
      </c>
      <c r="H7">
        <f t="shared" si="0"/>
        <v>60000</v>
      </c>
      <c r="I7">
        <f t="shared" si="1"/>
        <v>1</v>
      </c>
      <c r="J7">
        <f t="shared" si="2"/>
        <v>1</v>
      </c>
      <c r="K7" t="str">
        <f t="shared" si="3"/>
        <v>Unique</v>
      </c>
      <c r="L7" t="str">
        <f t="shared" si="4"/>
        <v>New Customer</v>
      </c>
    </row>
    <row r="8" spans="1:12" x14ac:dyDescent="0.3">
      <c r="A8">
        <v>107</v>
      </c>
      <c r="B8" t="s">
        <v>7</v>
      </c>
      <c r="C8" t="s">
        <v>8</v>
      </c>
      <c r="D8" t="s">
        <v>13</v>
      </c>
      <c r="E8" t="s">
        <v>10</v>
      </c>
      <c r="F8">
        <v>1</v>
      </c>
      <c r="G8">
        <v>18000</v>
      </c>
      <c r="H8">
        <f t="shared" si="0"/>
        <v>18000</v>
      </c>
      <c r="I8">
        <f t="shared" si="1"/>
        <v>1</v>
      </c>
      <c r="J8">
        <f t="shared" si="2"/>
        <v>2</v>
      </c>
      <c r="K8" t="str">
        <f t="shared" si="3"/>
        <v>Unique</v>
      </c>
      <c r="L8" t="str">
        <f t="shared" si="4"/>
        <v>Repeated Customer</v>
      </c>
    </row>
    <row r="9" spans="1:12" x14ac:dyDescent="0.3">
      <c r="A9">
        <v>108</v>
      </c>
      <c r="B9" t="s">
        <v>15</v>
      </c>
      <c r="C9" t="s">
        <v>16</v>
      </c>
      <c r="D9" t="s">
        <v>21</v>
      </c>
      <c r="E9" t="s">
        <v>18</v>
      </c>
      <c r="F9">
        <v>2</v>
      </c>
      <c r="G9">
        <v>1200</v>
      </c>
      <c r="H9">
        <f t="shared" si="0"/>
        <v>2400</v>
      </c>
      <c r="I9">
        <f t="shared" si="1"/>
        <v>1</v>
      </c>
      <c r="J9">
        <f t="shared" si="2"/>
        <v>2</v>
      </c>
      <c r="K9" t="str">
        <f t="shared" si="3"/>
        <v>Unique</v>
      </c>
      <c r="L9" t="str">
        <f t="shared" si="4"/>
        <v>Repeated Customer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garapati</dc:creator>
  <cp:lastModifiedBy>vyshnavi garapati</cp:lastModifiedBy>
  <dcterms:created xsi:type="dcterms:W3CDTF">2026-04-04T13:49:29Z</dcterms:created>
  <dcterms:modified xsi:type="dcterms:W3CDTF">2026-04-05T07:49:20Z</dcterms:modified>
</cp:coreProperties>
</file>