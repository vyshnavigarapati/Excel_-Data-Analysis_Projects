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vyshn\OneDrive\Documents\"/>
    </mc:Choice>
  </mc:AlternateContent>
  <xr:revisionPtr revIDLastSave="0" documentId="8_{8942982B-AB6B-4CC7-9DAB-B07469437170}" xr6:coauthVersionLast="47" xr6:coauthVersionMax="47" xr10:uidLastSave="{00000000-0000-0000-0000-000000000000}"/>
  <bookViews>
    <workbookView xWindow="-108" yWindow="-108" windowWidth="23256" windowHeight="12456" activeTab="1" xr2:uid="{A3DD2787-174E-4C6F-8CBF-0AC64C55D228}"/>
  </bookViews>
  <sheets>
    <sheet name="Sheet2" sheetId="2" r:id="rId1"/>
    <sheet name="Visualizations" sheetId="3" r:id="rId2"/>
    <sheet name="Sheet4" sheetId="4" r:id="rId3"/>
    <sheet name="Sheet5" sheetId="5" r:id="rId4"/>
    <sheet name="Data" sheetId="1" r:id="rId5"/>
  </sheets>
  <definedNames>
    <definedName name="Slicer_Category">#N/A</definedName>
    <definedName name="Slicer_Month">#N/A</definedName>
    <definedName name="Slicer_Regi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 i="1"/>
  <c r="J3" i="1"/>
  <c r="J4" i="1"/>
  <c r="J5" i="1"/>
  <c r="J6" i="1"/>
  <c r="J7" i="1"/>
  <c r="J8" i="1"/>
  <c r="J9" i="1"/>
  <c r="J10" i="1"/>
  <c r="J11" i="1"/>
  <c r="J12" i="1"/>
  <c r="J13" i="1"/>
  <c r="J14" i="1"/>
  <c r="J15" i="1"/>
  <c r="J16" i="1"/>
  <c r="J17" i="1"/>
  <c r="J18" i="1"/>
  <c r="J19" i="1"/>
  <c r="J20" i="1"/>
  <c r="J21" i="1"/>
  <c r="J2" i="1"/>
  <c r="I3" i="1"/>
  <c r="I4" i="1"/>
  <c r="I5" i="1"/>
  <c r="I6" i="1"/>
  <c r="I7" i="1"/>
  <c r="I8" i="1"/>
  <c r="I9" i="1"/>
  <c r="I10" i="1"/>
  <c r="I11" i="1"/>
  <c r="I12" i="1"/>
  <c r="I13" i="1"/>
  <c r="I14" i="1"/>
  <c r="I15" i="1"/>
  <c r="I16" i="1"/>
  <c r="I17" i="1"/>
  <c r="I18" i="1"/>
  <c r="I19" i="1"/>
  <c r="I20" i="1"/>
  <c r="I21" i="1"/>
  <c r="I2" i="1"/>
</calcChain>
</file>

<file path=xl/sharedStrings.xml><?xml version="1.0" encoding="utf-8"?>
<sst xmlns="http://schemas.openxmlformats.org/spreadsheetml/2006/main" count="116" uniqueCount="40">
  <si>
    <t>OrderID</t>
  </si>
  <si>
    <t>Date</t>
  </si>
  <si>
    <t>Region</t>
  </si>
  <si>
    <t>Product</t>
  </si>
  <si>
    <t>Category</t>
  </si>
  <si>
    <t>Quantity</t>
  </si>
  <si>
    <t>Price</t>
  </si>
  <si>
    <t>Customer</t>
  </si>
  <si>
    <t>South</t>
  </si>
  <si>
    <t>Laptop</t>
  </si>
  <si>
    <t>Electronics</t>
  </si>
  <si>
    <t>Ravi</t>
  </si>
  <si>
    <t>North</t>
  </si>
  <si>
    <t>Phone</t>
  </si>
  <si>
    <t>Anjali</t>
  </si>
  <si>
    <t>West</t>
  </si>
  <si>
    <t>Table</t>
  </si>
  <si>
    <t>Furniture</t>
  </si>
  <si>
    <t>Kiran</t>
  </si>
  <si>
    <t>Chair</t>
  </si>
  <si>
    <t>Sneha</t>
  </si>
  <si>
    <t>East</t>
  </si>
  <si>
    <t>Headphones</t>
  </si>
  <si>
    <t>Rahul</t>
  </si>
  <si>
    <t>Divya</t>
  </si>
  <si>
    <t>Amit</t>
  </si>
  <si>
    <t>Pooja</t>
  </si>
  <si>
    <t>Manoj</t>
  </si>
  <si>
    <t>Neha</t>
  </si>
  <si>
    <t>Total Sales</t>
  </si>
  <si>
    <t xml:space="preserve">Month </t>
  </si>
  <si>
    <t>Revenue Category</t>
  </si>
  <si>
    <t>Row Labels</t>
  </si>
  <si>
    <t>Jan</t>
  </si>
  <si>
    <t>Feb</t>
  </si>
  <si>
    <t>Grand Total</t>
  </si>
  <si>
    <t>Sum of Total Sales</t>
  </si>
  <si>
    <t>Column Labels</t>
  </si>
  <si>
    <t>High</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</si>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</sst>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practice day 3.xlsx]Sheet2!PivotTable1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Sheet2!$A$4:$A$6</c:f>
              <c:strCache>
                <c:ptCount val="2"/>
                <c:pt idx="0">
                  <c:v>Jan</c:v>
                </c:pt>
                <c:pt idx="1">
                  <c:v>Feb</c:v>
                </c:pt>
              </c:strCache>
            </c:strRef>
          </c:cat>
          <c:val>
            <c:numRef>
              <c:f>Sheet2!$B$4:$B$6</c:f>
              <c:numCache>
                <c:formatCode>General</c:formatCode>
                <c:ptCount val="2"/>
                <c:pt idx="0">
                  <c:v>278200</c:v>
                </c:pt>
                <c:pt idx="1">
                  <c:v>276100</c:v>
                </c:pt>
              </c:numCache>
            </c:numRef>
          </c:val>
          <c:smooth val="0"/>
          <c:extLst>
            <c:ext xmlns:c16="http://schemas.microsoft.com/office/drawing/2014/chart" uri="{C3380CC4-5D6E-409C-BE32-E72D297353CC}">
              <c16:uniqueId val="{00000000-538D-49EA-A360-996534C581B5}"/>
            </c:ext>
          </c:extLst>
        </c:ser>
        <c:dLbls>
          <c:showLegendKey val="0"/>
          <c:showVal val="0"/>
          <c:showCatName val="0"/>
          <c:showSerName val="0"/>
          <c:showPercent val="0"/>
          <c:showBubbleSize val="0"/>
        </c:dLbls>
        <c:smooth val="0"/>
        <c:axId val="1893591152"/>
        <c:axId val="1893583472"/>
      </c:lineChart>
      <c:catAx>
        <c:axId val="189359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83472"/>
        <c:crosses val="autoZero"/>
        <c:auto val="1"/>
        <c:lblAlgn val="ctr"/>
        <c:lblOffset val="100"/>
        <c:noMultiLvlLbl val="0"/>
      </c:catAx>
      <c:valAx>
        <c:axId val="189358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9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performance practice day 3.xlsx]Sheet2!PivotTable1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Monthly</a:t>
            </a:r>
            <a:r>
              <a:rPr lang="en-US" sz="1200" baseline="0"/>
              <a:t> Sales Trend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4"/>
              </a:solidFill>
              <a:round/>
            </a:ln>
            <a:effectLst/>
          </c:spPr>
          <c:marker>
            <c:symbol val="none"/>
          </c:marker>
          <c:cat>
            <c:strRef>
              <c:f>Sheet2!$A$4:$A$6</c:f>
              <c:strCache>
                <c:ptCount val="2"/>
                <c:pt idx="0">
                  <c:v>Jan</c:v>
                </c:pt>
                <c:pt idx="1">
                  <c:v>Feb</c:v>
                </c:pt>
              </c:strCache>
            </c:strRef>
          </c:cat>
          <c:val>
            <c:numRef>
              <c:f>Sheet2!$B$4:$B$6</c:f>
              <c:numCache>
                <c:formatCode>General</c:formatCode>
                <c:ptCount val="2"/>
                <c:pt idx="0">
                  <c:v>278200</c:v>
                </c:pt>
                <c:pt idx="1">
                  <c:v>276100</c:v>
                </c:pt>
              </c:numCache>
            </c:numRef>
          </c:val>
          <c:smooth val="0"/>
          <c:extLst>
            <c:ext xmlns:c16="http://schemas.microsoft.com/office/drawing/2014/chart" uri="{C3380CC4-5D6E-409C-BE32-E72D297353CC}">
              <c16:uniqueId val="{00000000-7991-4DF4-9BB4-FE2F53183A8F}"/>
            </c:ext>
          </c:extLst>
        </c:ser>
        <c:dLbls>
          <c:showLegendKey val="0"/>
          <c:showVal val="0"/>
          <c:showCatName val="0"/>
          <c:showSerName val="0"/>
          <c:showPercent val="0"/>
          <c:showBubbleSize val="0"/>
        </c:dLbls>
        <c:smooth val="0"/>
        <c:axId val="1893591152"/>
        <c:axId val="1893583472"/>
      </c:lineChart>
      <c:catAx>
        <c:axId val="189359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83472"/>
        <c:crosses val="autoZero"/>
        <c:auto val="1"/>
        <c:lblAlgn val="ctr"/>
        <c:lblOffset val="100"/>
        <c:noMultiLvlLbl val="0"/>
      </c:catAx>
      <c:valAx>
        <c:axId val="189358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9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performance practice day 3.xlsx]Sheet4!PivotTable2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Product</a:t>
            </a:r>
            <a:r>
              <a:rPr lang="en-US" sz="1200" baseline="0"/>
              <a:t>-Wise Total Sales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8721812999182"/>
          <c:y val="0.29074400592563965"/>
          <c:w val="0.76302571049586543"/>
          <c:h val="0.53832463810121889"/>
        </c:manualLayout>
      </c:layout>
      <c:barChart>
        <c:barDir val="col"/>
        <c:grouping val="stacked"/>
        <c:varyColors val="0"/>
        <c:ser>
          <c:idx val="0"/>
          <c:order val="0"/>
          <c:tx>
            <c:strRef>
              <c:f>Sheet4!$B$3</c:f>
              <c:strCache>
                <c:ptCount val="1"/>
                <c:pt idx="0">
                  <c:v>Total</c:v>
                </c:pt>
              </c:strCache>
            </c:strRef>
          </c:tx>
          <c:spPr>
            <a:solidFill>
              <a:schemeClr val="accent4"/>
            </a:solidFill>
            <a:ln>
              <a:noFill/>
            </a:ln>
            <a:effectLst/>
          </c:spPr>
          <c:invertIfNegative val="0"/>
          <c:cat>
            <c:strRef>
              <c:f>Sheet4!$A$4:$A$9</c:f>
              <c:strCache>
                <c:ptCount val="5"/>
                <c:pt idx="0">
                  <c:v>Laptop</c:v>
                </c:pt>
                <c:pt idx="1">
                  <c:v>Phone</c:v>
                </c:pt>
                <c:pt idx="2">
                  <c:v>Table</c:v>
                </c:pt>
                <c:pt idx="3">
                  <c:v>Headphones</c:v>
                </c:pt>
                <c:pt idx="4">
                  <c:v>Chair</c:v>
                </c:pt>
              </c:strCache>
            </c:strRef>
          </c:cat>
          <c:val>
            <c:numRef>
              <c:f>Sheet4!$B$4:$B$9</c:f>
              <c:numCache>
                <c:formatCode>General</c:formatCode>
                <c:ptCount val="5"/>
                <c:pt idx="0">
                  <c:v>290000</c:v>
                </c:pt>
                <c:pt idx="1">
                  <c:v>155000</c:v>
                </c:pt>
                <c:pt idx="2">
                  <c:v>47400</c:v>
                </c:pt>
                <c:pt idx="3">
                  <c:v>36900</c:v>
                </c:pt>
                <c:pt idx="4">
                  <c:v>25000</c:v>
                </c:pt>
              </c:numCache>
            </c:numRef>
          </c:val>
          <c:extLst>
            <c:ext xmlns:c16="http://schemas.microsoft.com/office/drawing/2014/chart" uri="{C3380CC4-5D6E-409C-BE32-E72D297353CC}">
              <c16:uniqueId val="{00000000-9257-4615-B114-29D68A5E15B8}"/>
            </c:ext>
          </c:extLst>
        </c:ser>
        <c:dLbls>
          <c:showLegendKey val="0"/>
          <c:showVal val="0"/>
          <c:showCatName val="0"/>
          <c:showSerName val="0"/>
          <c:showPercent val="0"/>
          <c:showBubbleSize val="0"/>
        </c:dLbls>
        <c:gapWidth val="150"/>
        <c:overlap val="100"/>
        <c:axId val="1893600752"/>
        <c:axId val="1893601232"/>
      </c:barChart>
      <c:catAx>
        <c:axId val="189360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93601232"/>
        <c:crosses val="autoZero"/>
        <c:auto val="1"/>
        <c:lblAlgn val="ctr"/>
        <c:lblOffset val="100"/>
        <c:noMultiLvlLbl val="0"/>
      </c:catAx>
      <c:valAx>
        <c:axId val="189360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0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performance practice day 3.xlsx]Sheet5!PivotTable3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Sales by Revenue Caategory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8308279646862"/>
          <c:y val="0.15359045688151257"/>
          <c:w val="0.61189722023383442"/>
          <c:h val="0.63466217171955297"/>
        </c:manualLayout>
      </c:layout>
      <c:barChart>
        <c:barDir val="col"/>
        <c:grouping val="stacked"/>
        <c:varyColors val="0"/>
        <c:ser>
          <c:idx val="0"/>
          <c:order val="0"/>
          <c:tx>
            <c:strRef>
              <c:f>Sheet5!$B$3:$B$4</c:f>
              <c:strCache>
                <c:ptCount val="1"/>
                <c:pt idx="0">
                  <c:v>High</c:v>
                </c:pt>
              </c:strCache>
            </c:strRef>
          </c:tx>
          <c:spPr>
            <a:solidFill>
              <a:schemeClr val="accent4">
                <a:tint val="77000"/>
              </a:schemeClr>
            </a:solidFill>
            <a:ln>
              <a:noFill/>
            </a:ln>
            <a:effectLst/>
          </c:spPr>
          <c:invertIfNegative val="0"/>
          <c:cat>
            <c:strRef>
              <c:f>Sheet5!$A$5:$A$10</c:f>
              <c:strCache>
                <c:ptCount val="5"/>
                <c:pt idx="0">
                  <c:v>Chair</c:v>
                </c:pt>
                <c:pt idx="1">
                  <c:v>Headphones</c:v>
                </c:pt>
                <c:pt idx="2">
                  <c:v>Laptop</c:v>
                </c:pt>
                <c:pt idx="3">
                  <c:v>Phone</c:v>
                </c:pt>
                <c:pt idx="4">
                  <c:v>Table</c:v>
                </c:pt>
              </c:strCache>
            </c:strRef>
          </c:cat>
          <c:val>
            <c:numRef>
              <c:f>Sheet5!$B$5:$B$10</c:f>
              <c:numCache>
                <c:formatCode>General</c:formatCode>
                <c:ptCount val="5"/>
                <c:pt idx="0">
                  <c:v>21100</c:v>
                </c:pt>
                <c:pt idx="1">
                  <c:v>36900</c:v>
                </c:pt>
                <c:pt idx="2">
                  <c:v>290000</c:v>
                </c:pt>
                <c:pt idx="3">
                  <c:v>155000</c:v>
                </c:pt>
                <c:pt idx="4">
                  <c:v>47400</c:v>
                </c:pt>
              </c:numCache>
            </c:numRef>
          </c:val>
          <c:extLst>
            <c:ext xmlns:c16="http://schemas.microsoft.com/office/drawing/2014/chart" uri="{C3380CC4-5D6E-409C-BE32-E72D297353CC}">
              <c16:uniqueId val="{00000000-2DBA-4F4C-B3BB-2F7DE2D411C8}"/>
            </c:ext>
          </c:extLst>
        </c:ser>
        <c:ser>
          <c:idx val="1"/>
          <c:order val="1"/>
          <c:tx>
            <c:strRef>
              <c:f>Sheet5!$C$3:$C$4</c:f>
              <c:strCache>
                <c:ptCount val="1"/>
                <c:pt idx="0">
                  <c:v>Low</c:v>
                </c:pt>
              </c:strCache>
            </c:strRef>
          </c:tx>
          <c:spPr>
            <a:solidFill>
              <a:schemeClr val="accent4">
                <a:shade val="76000"/>
              </a:schemeClr>
            </a:solidFill>
            <a:ln>
              <a:noFill/>
            </a:ln>
            <a:effectLst/>
          </c:spPr>
          <c:invertIfNegative val="0"/>
          <c:cat>
            <c:strRef>
              <c:f>Sheet5!$A$5:$A$10</c:f>
              <c:strCache>
                <c:ptCount val="5"/>
                <c:pt idx="0">
                  <c:v>Chair</c:v>
                </c:pt>
                <c:pt idx="1">
                  <c:v>Headphones</c:v>
                </c:pt>
                <c:pt idx="2">
                  <c:v>Laptop</c:v>
                </c:pt>
                <c:pt idx="3">
                  <c:v>Phone</c:v>
                </c:pt>
                <c:pt idx="4">
                  <c:v>Table</c:v>
                </c:pt>
              </c:strCache>
            </c:strRef>
          </c:cat>
          <c:val>
            <c:numRef>
              <c:f>Sheet5!$C$5:$C$10</c:f>
              <c:numCache>
                <c:formatCode>General</c:formatCode>
                <c:ptCount val="5"/>
                <c:pt idx="0">
                  <c:v>3900</c:v>
                </c:pt>
              </c:numCache>
            </c:numRef>
          </c:val>
          <c:extLst>
            <c:ext xmlns:c16="http://schemas.microsoft.com/office/drawing/2014/chart" uri="{C3380CC4-5D6E-409C-BE32-E72D297353CC}">
              <c16:uniqueId val="{00000001-2DBA-4F4C-B3BB-2F7DE2D411C8}"/>
            </c:ext>
          </c:extLst>
        </c:ser>
        <c:dLbls>
          <c:showLegendKey val="0"/>
          <c:showVal val="0"/>
          <c:showCatName val="0"/>
          <c:showSerName val="0"/>
          <c:showPercent val="0"/>
          <c:showBubbleSize val="0"/>
        </c:dLbls>
        <c:gapWidth val="150"/>
        <c:overlap val="100"/>
        <c:axId val="1893628592"/>
        <c:axId val="1893623312"/>
      </c:barChart>
      <c:catAx>
        <c:axId val="189362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23312"/>
        <c:crosses val="autoZero"/>
        <c:auto val="1"/>
        <c:lblAlgn val="ctr"/>
        <c:lblOffset val="100"/>
        <c:noMultiLvlLbl val="0"/>
      </c:catAx>
      <c:valAx>
        <c:axId val="189362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2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practice day 3.xlsx]Sheet4!PivotTable2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Laptop</c:v>
                </c:pt>
                <c:pt idx="1">
                  <c:v>Phone</c:v>
                </c:pt>
                <c:pt idx="2">
                  <c:v>Table</c:v>
                </c:pt>
                <c:pt idx="3">
                  <c:v>Headphones</c:v>
                </c:pt>
                <c:pt idx="4">
                  <c:v>Chair</c:v>
                </c:pt>
              </c:strCache>
            </c:strRef>
          </c:cat>
          <c:val>
            <c:numRef>
              <c:f>Sheet4!$B$4:$B$9</c:f>
              <c:numCache>
                <c:formatCode>General</c:formatCode>
                <c:ptCount val="5"/>
                <c:pt idx="0">
                  <c:v>290000</c:v>
                </c:pt>
                <c:pt idx="1">
                  <c:v>155000</c:v>
                </c:pt>
                <c:pt idx="2">
                  <c:v>47400</c:v>
                </c:pt>
                <c:pt idx="3">
                  <c:v>36900</c:v>
                </c:pt>
                <c:pt idx="4">
                  <c:v>25000</c:v>
                </c:pt>
              </c:numCache>
            </c:numRef>
          </c:val>
          <c:extLst>
            <c:ext xmlns:c16="http://schemas.microsoft.com/office/drawing/2014/chart" uri="{C3380CC4-5D6E-409C-BE32-E72D297353CC}">
              <c16:uniqueId val="{00000002-E6C8-47BA-9D37-6980FAE88060}"/>
            </c:ext>
          </c:extLst>
        </c:ser>
        <c:dLbls>
          <c:showLegendKey val="0"/>
          <c:showVal val="0"/>
          <c:showCatName val="0"/>
          <c:showSerName val="0"/>
          <c:showPercent val="0"/>
          <c:showBubbleSize val="0"/>
        </c:dLbls>
        <c:gapWidth val="150"/>
        <c:overlap val="100"/>
        <c:axId val="1893600752"/>
        <c:axId val="1893601232"/>
      </c:barChart>
      <c:catAx>
        <c:axId val="189360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01232"/>
        <c:crosses val="autoZero"/>
        <c:auto val="1"/>
        <c:lblAlgn val="ctr"/>
        <c:lblOffset val="100"/>
        <c:noMultiLvlLbl val="0"/>
      </c:catAx>
      <c:valAx>
        <c:axId val="189360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0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practice day 3.xlsx]Sheet5!PivotTable3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Sheet5!$B$3:$B$4</c:f>
              <c:strCache>
                <c:ptCount val="1"/>
                <c:pt idx="0">
                  <c:v>High</c:v>
                </c:pt>
              </c:strCache>
            </c:strRef>
          </c:tx>
          <c:spPr>
            <a:solidFill>
              <a:schemeClr val="accent1"/>
            </a:solidFill>
            <a:ln>
              <a:noFill/>
            </a:ln>
            <a:effectLst/>
          </c:spPr>
          <c:invertIfNegative val="0"/>
          <c:cat>
            <c:strRef>
              <c:f>Sheet5!$A$5:$A$10</c:f>
              <c:strCache>
                <c:ptCount val="5"/>
                <c:pt idx="0">
                  <c:v>Chair</c:v>
                </c:pt>
                <c:pt idx="1">
                  <c:v>Headphones</c:v>
                </c:pt>
                <c:pt idx="2">
                  <c:v>Laptop</c:v>
                </c:pt>
                <c:pt idx="3">
                  <c:v>Phone</c:v>
                </c:pt>
                <c:pt idx="4">
                  <c:v>Table</c:v>
                </c:pt>
              </c:strCache>
            </c:strRef>
          </c:cat>
          <c:val>
            <c:numRef>
              <c:f>Sheet5!$B$5:$B$10</c:f>
              <c:numCache>
                <c:formatCode>General</c:formatCode>
                <c:ptCount val="5"/>
                <c:pt idx="0">
                  <c:v>21100</c:v>
                </c:pt>
                <c:pt idx="1">
                  <c:v>36900</c:v>
                </c:pt>
                <c:pt idx="2">
                  <c:v>290000</c:v>
                </c:pt>
                <c:pt idx="3">
                  <c:v>155000</c:v>
                </c:pt>
                <c:pt idx="4">
                  <c:v>47400</c:v>
                </c:pt>
              </c:numCache>
            </c:numRef>
          </c:val>
          <c:extLst>
            <c:ext xmlns:c16="http://schemas.microsoft.com/office/drawing/2014/chart" uri="{C3380CC4-5D6E-409C-BE32-E72D297353CC}">
              <c16:uniqueId val="{00000000-6591-400A-8BFC-F2EBFD42506C}"/>
            </c:ext>
          </c:extLst>
        </c:ser>
        <c:ser>
          <c:idx val="1"/>
          <c:order val="1"/>
          <c:tx>
            <c:strRef>
              <c:f>Sheet5!$C$3:$C$4</c:f>
              <c:strCache>
                <c:ptCount val="1"/>
                <c:pt idx="0">
                  <c:v>Low</c:v>
                </c:pt>
              </c:strCache>
            </c:strRef>
          </c:tx>
          <c:spPr>
            <a:solidFill>
              <a:schemeClr val="accent2"/>
            </a:solidFill>
            <a:ln>
              <a:noFill/>
            </a:ln>
            <a:effectLst/>
          </c:spPr>
          <c:invertIfNegative val="0"/>
          <c:cat>
            <c:strRef>
              <c:f>Sheet5!$A$5:$A$10</c:f>
              <c:strCache>
                <c:ptCount val="5"/>
                <c:pt idx="0">
                  <c:v>Chair</c:v>
                </c:pt>
                <c:pt idx="1">
                  <c:v>Headphones</c:v>
                </c:pt>
                <c:pt idx="2">
                  <c:v>Laptop</c:v>
                </c:pt>
                <c:pt idx="3">
                  <c:v>Phone</c:v>
                </c:pt>
                <c:pt idx="4">
                  <c:v>Table</c:v>
                </c:pt>
              </c:strCache>
            </c:strRef>
          </c:cat>
          <c:val>
            <c:numRef>
              <c:f>Sheet5!$C$5:$C$10</c:f>
              <c:numCache>
                <c:formatCode>General</c:formatCode>
                <c:ptCount val="5"/>
                <c:pt idx="0">
                  <c:v>3900</c:v>
                </c:pt>
              </c:numCache>
            </c:numRef>
          </c:val>
          <c:extLst>
            <c:ext xmlns:c16="http://schemas.microsoft.com/office/drawing/2014/chart" uri="{C3380CC4-5D6E-409C-BE32-E72D297353CC}">
              <c16:uniqueId val="{00000001-6591-400A-8BFC-F2EBFD42506C}"/>
            </c:ext>
          </c:extLst>
        </c:ser>
        <c:dLbls>
          <c:showLegendKey val="0"/>
          <c:showVal val="0"/>
          <c:showCatName val="0"/>
          <c:showSerName val="0"/>
          <c:showPercent val="0"/>
          <c:showBubbleSize val="0"/>
        </c:dLbls>
        <c:gapWidth val="150"/>
        <c:overlap val="100"/>
        <c:axId val="1893628592"/>
        <c:axId val="1893623312"/>
      </c:barChart>
      <c:catAx>
        <c:axId val="189362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23312"/>
        <c:crosses val="autoZero"/>
        <c:auto val="1"/>
        <c:lblAlgn val="ctr"/>
        <c:lblOffset val="100"/>
        <c:noMultiLvlLbl val="0"/>
      </c:catAx>
      <c:valAx>
        <c:axId val="189362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2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990600</xdr:colOff>
      <xdr:row>6</xdr:row>
      <xdr:rowOff>41910</xdr:rowOff>
    </xdr:from>
    <xdr:to>
      <xdr:col>9</xdr:col>
      <xdr:colOff>167640</xdr:colOff>
      <xdr:row>21</xdr:row>
      <xdr:rowOff>41910</xdr:rowOff>
    </xdr:to>
    <xdr:graphicFrame macro="">
      <xdr:nvGraphicFramePr>
        <xdr:cNvPr id="4" name="Chart 3">
          <a:extLst>
            <a:ext uri="{FF2B5EF4-FFF2-40B4-BE49-F238E27FC236}">
              <a16:creationId xmlns:a16="http://schemas.microsoft.com/office/drawing/2014/main" id="{318EA465-82E3-86E0-E900-D940AB423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556260</xdr:colOff>
      <xdr:row>1</xdr:row>
      <xdr:rowOff>106680</xdr:rowOff>
    </xdr:from>
    <xdr:to>
      <xdr:col>16</xdr:col>
      <xdr:colOff>396240</xdr:colOff>
      <xdr:row>13</xdr:row>
      <xdr:rowOff>76200</xdr:rowOff>
    </xdr:to>
    <xdr:graphicFrame macro="">
      <xdr:nvGraphicFramePr>
        <xdr:cNvPr id="2" name="Chart 1">
          <a:extLst>
            <a:ext uri="{FF2B5EF4-FFF2-40B4-BE49-F238E27FC236}">
              <a16:creationId xmlns:a16="http://schemas.microsoft.com/office/drawing/2014/main" id="{DF9E68FA-951E-4715-8FC9-0C4656C08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14</xdr:row>
      <xdr:rowOff>38100</xdr:rowOff>
    </xdr:from>
    <xdr:to>
      <xdr:col>16</xdr:col>
      <xdr:colOff>411480</xdr:colOff>
      <xdr:row>26</xdr:row>
      <xdr:rowOff>38100</xdr:rowOff>
    </xdr:to>
    <xdr:graphicFrame macro="">
      <xdr:nvGraphicFramePr>
        <xdr:cNvPr id="3" name="Chart 2">
          <a:extLst>
            <a:ext uri="{FF2B5EF4-FFF2-40B4-BE49-F238E27FC236}">
              <a16:creationId xmlns:a16="http://schemas.microsoft.com/office/drawing/2014/main" id="{78E669F2-2FCE-481E-B844-1D52F6122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6</xdr:row>
      <xdr:rowOff>160020</xdr:rowOff>
    </xdr:from>
    <xdr:to>
      <xdr:col>10</xdr:col>
      <xdr:colOff>30480</xdr:colOff>
      <xdr:row>21</xdr:row>
      <xdr:rowOff>144780</xdr:rowOff>
    </xdr:to>
    <xdr:graphicFrame macro="">
      <xdr:nvGraphicFramePr>
        <xdr:cNvPr id="4" name="Chart 3">
          <a:extLst>
            <a:ext uri="{FF2B5EF4-FFF2-40B4-BE49-F238E27FC236}">
              <a16:creationId xmlns:a16="http://schemas.microsoft.com/office/drawing/2014/main" id="{5BE3174A-7B7F-4360-B5CA-DAE64F362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2</xdr:row>
      <xdr:rowOff>15240</xdr:rowOff>
    </xdr:from>
    <xdr:to>
      <xdr:col>3</xdr:col>
      <xdr:colOff>38100</xdr:colOff>
      <xdr:row>7</xdr:row>
      <xdr:rowOff>22860</xdr:rowOff>
    </xdr:to>
    <mc:AlternateContent xmlns:mc="http://schemas.openxmlformats.org/markup-compatibility/2006">
      <mc:Choice xmlns:a14="http://schemas.microsoft.com/office/drawing/2010/main" Requires="a14">
        <xdr:graphicFrame macro="">
          <xdr:nvGraphicFramePr>
            <xdr:cNvPr id="5" name="Month ">
              <a:extLst>
                <a:ext uri="{FF2B5EF4-FFF2-40B4-BE49-F238E27FC236}">
                  <a16:creationId xmlns:a16="http://schemas.microsoft.com/office/drawing/2014/main" id="{0F3A8FA7-ED9D-4DC3-9F50-F56A4B2B38BE}"/>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dr:sp macro="" textlink="">
          <xdr:nvSpPr>
            <xdr:cNvPr id="0" name=""/>
            <xdr:cNvSpPr>
              <a:spLocks noTextEdit="1"/>
            </xdr:cNvSpPr>
          </xdr:nvSpPr>
          <xdr:spPr>
            <a:xfrm>
              <a:off x="53340" y="381000"/>
              <a:ext cx="181356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7</xdr:row>
      <xdr:rowOff>114300</xdr:rowOff>
    </xdr:from>
    <xdr:to>
      <xdr:col>3</xdr:col>
      <xdr:colOff>30480</xdr:colOff>
      <xdr:row>12</xdr:row>
      <xdr:rowOff>106680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4A14016E-9AA2-48F3-8BE2-A39F40B220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580" y="1394460"/>
              <a:ext cx="17907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13</xdr:row>
      <xdr:rowOff>7620</xdr:rowOff>
    </xdr:from>
    <xdr:to>
      <xdr:col>3</xdr:col>
      <xdr:colOff>30480</xdr:colOff>
      <xdr:row>21</xdr:row>
      <xdr:rowOff>30480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DB28B26-D5CA-4D47-B652-6753B53059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2385060"/>
              <a:ext cx="179832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487680</xdr:colOff>
      <xdr:row>2</xdr:row>
      <xdr:rowOff>30480</xdr:rowOff>
    </xdr:from>
    <xdr:ext cx="2727960" cy="342786"/>
    <xdr:sp macro="" textlink="">
      <xdr:nvSpPr>
        <xdr:cNvPr id="8" name="TextBox 7">
          <a:extLst>
            <a:ext uri="{FF2B5EF4-FFF2-40B4-BE49-F238E27FC236}">
              <a16:creationId xmlns:a16="http://schemas.microsoft.com/office/drawing/2014/main" id="{9D0481EA-ACE4-87D0-CCE2-A2D08C342CE9}"/>
            </a:ext>
          </a:extLst>
        </xdr:cNvPr>
        <xdr:cNvSpPr txBox="1"/>
      </xdr:nvSpPr>
      <xdr:spPr>
        <a:xfrm>
          <a:off x="2926080" y="396240"/>
          <a:ext cx="2727960" cy="342786"/>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600" b="1"/>
            <a:t>Sales</a:t>
          </a:r>
          <a:r>
            <a:rPr lang="en-IN" sz="1600" b="1" baseline="0"/>
            <a:t> Performance Dashboard</a:t>
          </a:r>
          <a:endParaRPr lang="en-IN" sz="1600" b="1"/>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990600</xdr:colOff>
      <xdr:row>6</xdr:row>
      <xdr:rowOff>41910</xdr:rowOff>
    </xdr:from>
    <xdr:to>
      <xdr:col>9</xdr:col>
      <xdr:colOff>167640</xdr:colOff>
      <xdr:row>21</xdr:row>
      <xdr:rowOff>41910</xdr:rowOff>
    </xdr:to>
    <xdr:graphicFrame macro="">
      <xdr:nvGraphicFramePr>
        <xdr:cNvPr id="2" name="Chart 1">
          <a:extLst>
            <a:ext uri="{FF2B5EF4-FFF2-40B4-BE49-F238E27FC236}">
              <a16:creationId xmlns:a16="http://schemas.microsoft.com/office/drawing/2014/main" id="{B5B1C875-1F58-7DB0-4695-6993FDA53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723900</xdr:colOff>
      <xdr:row>6</xdr:row>
      <xdr:rowOff>41910</xdr:rowOff>
    </xdr:from>
    <xdr:to>
      <xdr:col>9</xdr:col>
      <xdr:colOff>99060</xdr:colOff>
      <xdr:row>21</xdr:row>
      <xdr:rowOff>41910</xdr:rowOff>
    </xdr:to>
    <xdr:graphicFrame macro="">
      <xdr:nvGraphicFramePr>
        <xdr:cNvPr id="2" name="Chart 1">
          <a:extLst>
            <a:ext uri="{FF2B5EF4-FFF2-40B4-BE49-F238E27FC236}">
              <a16:creationId xmlns:a16="http://schemas.microsoft.com/office/drawing/2014/main" id="{6E1BA7C7-7C9C-AA96-A2F8-46119652F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shnavi garapati" refreshedDate="46119.418506712966" createdVersion="8" refreshedVersion="8" minRefreshableVersion="3" recordCount="20" xr:uid="{4531C067-5F24-4E36-A2AB-FADCE19CA268}">
  <cacheSource type="worksheet">
    <worksheetSource ref="A1:K21" sheet="Data"/>
  </cacheSource>
  <cacheFields count="11">
    <cacheField name="OrderID" numFmtId="0">
      <sharedItems containsSemiMixedTypes="0" containsString="0" containsNumber="1" containsInteger="1" minValue="1001" maxValue="1020"/>
    </cacheField>
    <cacheField name="Date" numFmtId="14">
      <sharedItems containsSemiMixedTypes="0" containsNonDate="0" containsDate="1" containsString="0" minDate="2024-01-05T00:00:00" maxDate="2024-02-20T00:00:00"/>
    </cacheField>
    <cacheField name="Region" numFmtId="0">
      <sharedItems count="4">
        <s v="South"/>
        <s v="North"/>
        <s v="West"/>
        <s v="East"/>
      </sharedItems>
    </cacheField>
    <cacheField name="Product" numFmtId="0">
      <sharedItems count="5">
        <s v="Laptop"/>
        <s v="Phone"/>
        <s v="Table"/>
        <s v="Chair"/>
        <s v="Headphones"/>
      </sharedItems>
    </cacheField>
    <cacheField name="Category" numFmtId="0">
      <sharedItems count="2">
        <s v="Electronics"/>
        <s v="Furniture"/>
      </sharedItems>
    </cacheField>
    <cacheField name="Quantity" numFmtId="0">
      <sharedItems containsSemiMixedTypes="0" containsString="0" containsNumber="1" containsInteger="1" minValue="1" maxValue="6"/>
    </cacheField>
    <cacheField name="Price" numFmtId="0">
      <sharedItems containsSemiMixedTypes="0" containsString="0" containsNumber="1" containsInteger="1" minValue="1200" maxValue="62000"/>
    </cacheField>
    <cacheField name="Customer" numFmtId="0">
      <sharedItems/>
    </cacheField>
    <cacheField name="Total Sales" numFmtId="0">
      <sharedItems containsSemiMixedTypes="0" containsString="0" containsNumber="1" containsInteger="1" minValue="3900" maxValue="110000"/>
    </cacheField>
    <cacheField name="Month " numFmtId="0">
      <sharedItems count="2">
        <s v="Jan"/>
        <s v="Feb"/>
      </sharedItems>
    </cacheField>
    <cacheField name="Revenue Category" numFmtId="0">
      <sharedItems count="2">
        <s v="High"/>
        <s v="Low"/>
      </sharedItems>
    </cacheField>
  </cacheFields>
  <extLst>
    <ext xmlns:x14="http://schemas.microsoft.com/office/spreadsheetml/2009/9/main" uri="{725AE2AE-9491-48be-B2B4-4EB974FC3084}">
      <x14:pivotCacheDefinition pivotCacheId="222226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4-01-05T00:00:00"/>
    <x v="0"/>
    <x v="0"/>
    <x v="0"/>
    <n v="2"/>
    <n v="55000"/>
    <s v="Ravi"/>
    <n v="110000"/>
    <x v="0"/>
    <x v="0"/>
  </r>
  <r>
    <n v="1002"/>
    <d v="2024-01-06T00:00:00"/>
    <x v="1"/>
    <x v="1"/>
    <x v="0"/>
    <n v="1"/>
    <n v="20000"/>
    <s v="Anjali"/>
    <n v="20000"/>
    <x v="0"/>
    <x v="0"/>
  </r>
  <r>
    <n v="1003"/>
    <d v="2024-01-07T00:00:00"/>
    <x v="2"/>
    <x v="2"/>
    <x v="1"/>
    <n v="3"/>
    <n v="5000"/>
    <s v="Kiran"/>
    <n v="15000"/>
    <x v="0"/>
    <x v="0"/>
  </r>
  <r>
    <n v="1004"/>
    <d v="2024-01-08T00:00:00"/>
    <x v="0"/>
    <x v="3"/>
    <x v="1"/>
    <n v="5"/>
    <n v="1500"/>
    <s v="Sneha"/>
    <n v="7500"/>
    <x v="0"/>
    <x v="0"/>
  </r>
  <r>
    <n v="1005"/>
    <d v="2024-01-09T00:00:00"/>
    <x v="3"/>
    <x v="4"/>
    <x v="0"/>
    <n v="4"/>
    <n v="2000"/>
    <s v="Rahul"/>
    <n v="8000"/>
    <x v="0"/>
    <x v="0"/>
  </r>
  <r>
    <n v="1006"/>
    <d v="2024-01-10T00:00:00"/>
    <x v="1"/>
    <x v="0"/>
    <x v="0"/>
    <n v="1"/>
    <n v="60000"/>
    <s v="Divya"/>
    <n v="60000"/>
    <x v="0"/>
    <x v="0"/>
  </r>
  <r>
    <n v="1007"/>
    <d v="2024-01-11T00:00:00"/>
    <x v="2"/>
    <x v="1"/>
    <x v="0"/>
    <n v="2"/>
    <n v="18000"/>
    <s v="Amit"/>
    <n v="36000"/>
    <x v="0"/>
    <x v="0"/>
  </r>
  <r>
    <n v="1008"/>
    <d v="2024-01-12T00:00:00"/>
    <x v="3"/>
    <x v="2"/>
    <x v="1"/>
    <n v="1"/>
    <n v="7000"/>
    <s v="Pooja"/>
    <n v="7000"/>
    <x v="0"/>
    <x v="0"/>
  </r>
  <r>
    <n v="1009"/>
    <d v="2024-01-13T00:00:00"/>
    <x v="0"/>
    <x v="3"/>
    <x v="1"/>
    <n v="6"/>
    <n v="1200"/>
    <s v="Manoj"/>
    <n v="7200"/>
    <x v="0"/>
    <x v="0"/>
  </r>
  <r>
    <n v="1010"/>
    <d v="2024-01-14T00:00:00"/>
    <x v="1"/>
    <x v="4"/>
    <x v="0"/>
    <n v="3"/>
    <n v="2500"/>
    <s v="Neha"/>
    <n v="7500"/>
    <x v="0"/>
    <x v="0"/>
  </r>
  <r>
    <n v="1011"/>
    <d v="2024-02-01T00:00:00"/>
    <x v="0"/>
    <x v="0"/>
    <x v="0"/>
    <n v="1"/>
    <n v="58000"/>
    <s v="Ravi"/>
    <n v="58000"/>
    <x v="1"/>
    <x v="0"/>
  </r>
  <r>
    <n v="1012"/>
    <d v="2024-02-03T00:00:00"/>
    <x v="1"/>
    <x v="1"/>
    <x v="0"/>
    <n v="2"/>
    <n v="21000"/>
    <s v="Anjali"/>
    <n v="42000"/>
    <x v="1"/>
    <x v="0"/>
  </r>
  <r>
    <n v="1013"/>
    <d v="2024-02-05T00:00:00"/>
    <x v="2"/>
    <x v="2"/>
    <x v="1"/>
    <n v="2"/>
    <n v="5500"/>
    <s v="Kiran"/>
    <n v="11000"/>
    <x v="1"/>
    <x v="0"/>
  </r>
  <r>
    <n v="1014"/>
    <d v="2024-02-07T00:00:00"/>
    <x v="3"/>
    <x v="3"/>
    <x v="1"/>
    <n v="4"/>
    <n v="1600"/>
    <s v="Sneha"/>
    <n v="6400"/>
    <x v="1"/>
    <x v="0"/>
  </r>
  <r>
    <n v="1015"/>
    <d v="2024-02-09T00:00:00"/>
    <x v="0"/>
    <x v="4"/>
    <x v="0"/>
    <n v="5"/>
    <n v="2200"/>
    <s v="Rahul"/>
    <n v="11000"/>
    <x v="1"/>
    <x v="0"/>
  </r>
  <r>
    <n v="1016"/>
    <d v="2024-02-11T00:00:00"/>
    <x v="1"/>
    <x v="0"/>
    <x v="0"/>
    <n v="1"/>
    <n v="62000"/>
    <s v="Divya"/>
    <n v="62000"/>
    <x v="1"/>
    <x v="0"/>
  </r>
  <r>
    <n v="1017"/>
    <d v="2024-02-13T00:00:00"/>
    <x v="2"/>
    <x v="1"/>
    <x v="0"/>
    <n v="3"/>
    <n v="19000"/>
    <s v="Amit"/>
    <n v="57000"/>
    <x v="1"/>
    <x v="0"/>
  </r>
  <r>
    <n v="1018"/>
    <d v="2024-02-15T00:00:00"/>
    <x v="3"/>
    <x v="2"/>
    <x v="1"/>
    <n v="2"/>
    <n v="7200"/>
    <s v="Pooja"/>
    <n v="14400"/>
    <x v="1"/>
    <x v="0"/>
  </r>
  <r>
    <n v="1019"/>
    <d v="2024-02-17T00:00:00"/>
    <x v="0"/>
    <x v="3"/>
    <x v="1"/>
    <n v="3"/>
    <n v="1300"/>
    <s v="Manoj"/>
    <n v="3900"/>
    <x v="1"/>
    <x v="1"/>
  </r>
  <r>
    <n v="1020"/>
    <d v="2024-02-19T00:00:00"/>
    <x v="1"/>
    <x v="4"/>
    <x v="0"/>
    <n v="4"/>
    <n v="2600"/>
    <s v="Neha"/>
    <n v="1040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D31A97-E907-4A5E-9230-724D1548CD9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1">
    <pivotField showAll="0"/>
    <pivotField numFmtId="14"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s>
  <rowFields count="1">
    <field x="9"/>
  </rowFields>
  <rowItems count="3">
    <i>
      <x/>
    </i>
    <i>
      <x v="1"/>
    </i>
    <i t="grand">
      <x/>
    </i>
  </rowItems>
  <colItems count="1">
    <i/>
  </colItems>
  <dataFields count="1">
    <dataField name="Sum of Total Sales" fld="8"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1474B5-9169-4AD1-A4AE-83E1633C770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1">
    <pivotField showAll="0"/>
    <pivotField numFmtId="14" showAll="0"/>
    <pivotField showAll="0">
      <items count="5">
        <item x="3"/>
        <item x="1"/>
        <item x="0"/>
        <item x="2"/>
        <item t="default"/>
      </items>
    </pivotField>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dataField="1" showAll="0"/>
    <pivotField showAll="0">
      <items count="3">
        <item x="0"/>
        <item x="1"/>
        <item t="default"/>
      </items>
    </pivotField>
    <pivotField showAll="0"/>
  </pivotFields>
  <rowFields count="1">
    <field x="3"/>
  </rowFields>
  <rowItems count="6">
    <i>
      <x v="2"/>
    </i>
    <i>
      <x v="3"/>
    </i>
    <i>
      <x v="4"/>
    </i>
    <i>
      <x v="1"/>
    </i>
    <i>
      <x/>
    </i>
    <i t="grand">
      <x/>
    </i>
  </rowItems>
  <colItems count="1">
    <i/>
  </colItems>
  <dataFields count="1">
    <dataField name="Sum of Total Sales" fld="8"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8F9CB-0528-4E18-8413-2FA99079322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10" firstHeaderRow="1" firstDataRow="2" firstDataCol="1"/>
  <pivotFields count="11">
    <pivotField showAll="0"/>
    <pivotField numFmtId="14" showAll="0"/>
    <pivotField showAll="0"/>
    <pivotField axis="axisRow" showAll="0">
      <items count="6">
        <item x="3"/>
        <item x="4"/>
        <item x="0"/>
        <item x="1"/>
        <item x="2"/>
        <item t="default"/>
      </items>
    </pivotField>
    <pivotField showAll="0">
      <items count="3">
        <item x="0"/>
        <item x="1"/>
        <item t="default"/>
      </items>
    </pivotField>
    <pivotField showAll="0"/>
    <pivotField showAll="0"/>
    <pivotField showAll="0"/>
    <pivotField dataField="1" showAll="0"/>
    <pivotField showAll="0"/>
    <pivotField axis="axisCol" showAll="0">
      <items count="3">
        <item x="0"/>
        <item x="1"/>
        <item t="default"/>
      </items>
    </pivotField>
  </pivotFields>
  <rowFields count="1">
    <field x="3"/>
  </rowFields>
  <rowItems count="6">
    <i>
      <x/>
    </i>
    <i>
      <x v="1"/>
    </i>
    <i>
      <x v="2"/>
    </i>
    <i>
      <x v="3"/>
    </i>
    <i>
      <x v="4"/>
    </i>
    <i t="grand">
      <x/>
    </i>
  </rowItems>
  <colFields count="1">
    <field x="10"/>
  </colFields>
  <colItems count="3">
    <i>
      <x/>
    </i>
    <i>
      <x v="1"/>
    </i>
    <i t="grand">
      <x/>
    </i>
  </colItems>
  <dataFields count="1">
    <dataField name="Sum of Total Sales" fld="8" baseField="0" baseItem="0"/>
  </dataFields>
  <chartFormats count="4">
    <chartFormat chart="16" format="0" series="1">
      <pivotArea type="data" outline="0" fieldPosition="0">
        <references count="2">
          <reference field="4294967294" count="1" selected="0">
            <x v="0"/>
          </reference>
          <reference field="10" count="1" selected="0">
            <x v="0"/>
          </reference>
        </references>
      </pivotArea>
    </chartFormat>
    <chartFormat chart="16" format="1" series="1">
      <pivotArea type="data" outline="0" fieldPosition="0">
        <references count="2">
          <reference field="4294967294" count="1" selected="0">
            <x v="0"/>
          </reference>
          <reference field="10" count="1" selected="0">
            <x v="1"/>
          </reference>
        </references>
      </pivotArea>
    </chartFormat>
    <chartFormat chart="18" format="4" series="1">
      <pivotArea type="data" outline="0" fieldPosition="0">
        <references count="2">
          <reference field="4294967294" count="1" selected="0">
            <x v="0"/>
          </reference>
          <reference field="10" count="1" selected="0">
            <x v="0"/>
          </reference>
        </references>
      </pivotArea>
    </chartFormat>
    <chartFormat chart="18"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C15965-A609-448F-821B-08B0F531A199}" sourceName="Month ">
  <pivotTables>
    <pivotTable tabId="4" name="PivotTable2"/>
  </pivotTables>
  <data>
    <tabular pivotCacheId="2222265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757E56-2EDE-4275-A099-D3D1BB85346B}" sourceName="Category">
  <pivotTables>
    <pivotTable tabId="4" name="PivotTable2"/>
  </pivotTables>
  <data>
    <tabular pivotCacheId="2222265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57BB0F-BD35-4D7A-9F67-7BD854EDBA9E}" sourceName="Region">
  <pivotTables>
    <pivotTable tabId="4" name="PivotTable2"/>
  </pivotTables>
  <data>
    <tabular pivotCacheId="222226549">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 xr10:uid="{8E343B35-220A-476F-AA79-936979F59087}" cache="Slicer_Month" caption="Month " rowHeight="234950"/>
  <slicer name="Category" xr10:uid="{7363E09B-8B61-42D9-AFB9-8FA6ABA7C14D}" cache="Slicer_Category" caption="Category" rowHeight="234950"/>
  <slicer name="Region" xr10:uid="{6A16F49C-ABF1-4032-B6E3-6FDA1A61583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CD4B-C116-40B1-B21E-A2E800952813}">
  <dimension ref="A3:B6"/>
  <sheetViews>
    <sheetView workbookViewId="0">
      <selection activeCell="B4" sqref="B4"/>
    </sheetView>
  </sheetViews>
  <sheetFormatPr defaultRowHeight="14.4" x14ac:dyDescent="0.3"/>
  <cols>
    <col min="1" max="1" width="12.5546875" bestFit="1" customWidth="1"/>
    <col min="2" max="2" width="16.44140625" bestFit="1" customWidth="1"/>
  </cols>
  <sheetData>
    <row r="3" spans="1:2" x14ac:dyDescent="0.3">
      <c r="A3" s="2" t="s">
        <v>32</v>
      </c>
      <c r="B3" t="s">
        <v>36</v>
      </c>
    </row>
    <row r="4" spans="1:2" x14ac:dyDescent="0.3">
      <c r="A4" s="3" t="s">
        <v>33</v>
      </c>
      <c r="B4" s="4">
        <v>278200</v>
      </c>
    </row>
    <row r="5" spans="1:2" x14ac:dyDescent="0.3">
      <c r="A5" s="3" t="s">
        <v>34</v>
      </c>
      <c r="B5" s="4">
        <v>276100</v>
      </c>
    </row>
    <row r="6" spans="1:2" x14ac:dyDescent="0.3">
      <c r="A6" s="3" t="s">
        <v>35</v>
      </c>
      <c r="B6" s="4">
        <v>554300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04BF-99D9-4D8C-BD5D-02533E3BFB38}">
  <dimension ref="A1"/>
  <sheetViews>
    <sheetView tabSelected="1" workbookViewId="0">
      <selection activeCell="K17" sqref="K17"/>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72F3-0658-4D24-9C01-D9C81095EBC2}">
  <dimension ref="A3:B9"/>
  <sheetViews>
    <sheetView workbookViewId="0">
      <selection activeCell="B6" sqref="B6"/>
    </sheetView>
  </sheetViews>
  <sheetFormatPr defaultRowHeight="14.4" x14ac:dyDescent="0.3"/>
  <cols>
    <col min="1" max="1" width="12.5546875" bestFit="1" customWidth="1"/>
    <col min="2" max="2" width="16.44140625" bestFit="1" customWidth="1"/>
  </cols>
  <sheetData>
    <row r="3" spans="1:2" x14ac:dyDescent="0.3">
      <c r="A3" s="2" t="s">
        <v>32</v>
      </c>
      <c r="B3" t="s">
        <v>36</v>
      </c>
    </row>
    <row r="4" spans="1:2" x14ac:dyDescent="0.3">
      <c r="A4" s="3" t="s">
        <v>9</v>
      </c>
      <c r="B4" s="4">
        <v>290000</v>
      </c>
    </row>
    <row r="5" spans="1:2" x14ac:dyDescent="0.3">
      <c r="A5" s="3" t="s">
        <v>13</v>
      </c>
      <c r="B5" s="4">
        <v>155000</v>
      </c>
    </row>
    <row r="6" spans="1:2" x14ac:dyDescent="0.3">
      <c r="A6" s="3" t="s">
        <v>16</v>
      </c>
      <c r="B6" s="4">
        <v>47400</v>
      </c>
    </row>
    <row r="7" spans="1:2" x14ac:dyDescent="0.3">
      <c r="A7" s="3" t="s">
        <v>22</v>
      </c>
      <c r="B7" s="4">
        <v>36900</v>
      </c>
    </row>
    <row r="8" spans="1:2" x14ac:dyDescent="0.3">
      <c r="A8" s="3" t="s">
        <v>19</v>
      </c>
      <c r="B8" s="4">
        <v>25000</v>
      </c>
    </row>
    <row r="9" spans="1:2" x14ac:dyDescent="0.3">
      <c r="A9" s="3" t="s">
        <v>35</v>
      </c>
      <c r="B9" s="4">
        <v>554300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B5F2-3A01-4460-A459-A2D53168A32B}">
  <dimension ref="A3:D10"/>
  <sheetViews>
    <sheetView workbookViewId="0">
      <selection activeCell="A7" sqref="A7"/>
    </sheetView>
  </sheetViews>
  <sheetFormatPr defaultRowHeight="14.4" x14ac:dyDescent="0.3"/>
  <cols>
    <col min="1" max="1" width="16.44140625" bestFit="1" customWidth="1"/>
    <col min="2" max="2" width="15.5546875" bestFit="1" customWidth="1"/>
    <col min="3" max="3" width="5" bestFit="1" customWidth="1"/>
    <col min="4" max="4" width="10.77734375" bestFit="1" customWidth="1"/>
  </cols>
  <sheetData>
    <row r="3" spans="1:4" x14ac:dyDescent="0.3">
      <c r="A3" s="2" t="s">
        <v>36</v>
      </c>
      <c r="B3" s="2" t="s">
        <v>37</v>
      </c>
    </row>
    <row r="4" spans="1:4" x14ac:dyDescent="0.3">
      <c r="A4" s="2" t="s">
        <v>32</v>
      </c>
      <c r="B4" t="s">
        <v>38</v>
      </c>
      <c r="C4" t="s">
        <v>39</v>
      </c>
      <c r="D4" t="s">
        <v>35</v>
      </c>
    </row>
    <row r="5" spans="1:4" x14ac:dyDescent="0.3">
      <c r="A5" s="3" t="s">
        <v>19</v>
      </c>
      <c r="B5" s="4">
        <v>21100</v>
      </c>
      <c r="C5" s="4">
        <v>3900</v>
      </c>
      <c r="D5" s="4">
        <v>25000</v>
      </c>
    </row>
    <row r="6" spans="1:4" x14ac:dyDescent="0.3">
      <c r="A6" s="3" t="s">
        <v>22</v>
      </c>
      <c r="B6" s="4">
        <v>36900</v>
      </c>
      <c r="C6" s="4"/>
      <c r="D6" s="4">
        <v>36900</v>
      </c>
    </row>
    <row r="7" spans="1:4" x14ac:dyDescent="0.3">
      <c r="A7" s="3" t="s">
        <v>9</v>
      </c>
      <c r="B7" s="4">
        <v>290000</v>
      </c>
      <c r="C7" s="4"/>
      <c r="D7" s="4">
        <v>290000</v>
      </c>
    </row>
    <row r="8" spans="1:4" x14ac:dyDescent="0.3">
      <c r="A8" s="3" t="s">
        <v>13</v>
      </c>
      <c r="B8" s="4">
        <v>155000</v>
      </c>
      <c r="C8" s="4"/>
      <c r="D8" s="4">
        <v>155000</v>
      </c>
    </row>
    <row r="9" spans="1:4" x14ac:dyDescent="0.3">
      <c r="A9" s="3" t="s">
        <v>16</v>
      </c>
      <c r="B9" s="4">
        <v>47400</v>
      </c>
      <c r="C9" s="4"/>
      <c r="D9" s="4">
        <v>47400</v>
      </c>
    </row>
    <row r="10" spans="1:4" x14ac:dyDescent="0.3">
      <c r="A10" s="3" t="s">
        <v>35</v>
      </c>
      <c r="B10" s="4">
        <v>550400</v>
      </c>
      <c r="C10" s="4">
        <v>3900</v>
      </c>
      <c r="D10" s="4">
        <v>554300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5257-2B49-4300-9A27-71177C303534}">
  <dimension ref="A1:K21"/>
  <sheetViews>
    <sheetView workbookViewId="0">
      <selection activeCell="H6" sqref="H6"/>
    </sheetView>
  </sheetViews>
  <sheetFormatPr defaultRowHeight="14.4" x14ac:dyDescent="0.3"/>
  <cols>
    <col min="2" max="2" width="13.33203125" customWidth="1"/>
    <col min="3" max="3" width="11.109375" customWidth="1"/>
    <col min="9" max="9" width="10.109375" customWidth="1"/>
    <col min="11" max="11" width="16.44140625" customWidth="1"/>
  </cols>
  <sheetData>
    <row r="1" spans="1:11" x14ac:dyDescent="0.3">
      <c r="A1" t="s">
        <v>0</v>
      </c>
      <c r="B1" t="s">
        <v>1</v>
      </c>
      <c r="C1" t="s">
        <v>2</v>
      </c>
      <c r="D1" t="s">
        <v>3</v>
      </c>
      <c r="E1" t="s">
        <v>4</v>
      </c>
      <c r="F1" t="s">
        <v>5</v>
      </c>
      <c r="G1" t="s">
        <v>6</v>
      </c>
      <c r="H1" t="s">
        <v>7</v>
      </c>
      <c r="I1" t="s">
        <v>29</v>
      </c>
      <c r="J1" t="s">
        <v>30</v>
      </c>
      <c r="K1" t="s">
        <v>31</v>
      </c>
    </row>
    <row r="2" spans="1:11" x14ac:dyDescent="0.3">
      <c r="A2">
        <v>1001</v>
      </c>
      <c r="B2" s="1">
        <v>45296</v>
      </c>
      <c r="C2" t="s">
        <v>8</v>
      </c>
      <c r="D2" t="s">
        <v>9</v>
      </c>
      <c r="E2" t="s">
        <v>10</v>
      </c>
      <c r="F2">
        <v>2</v>
      </c>
      <c r="G2">
        <v>55000</v>
      </c>
      <c r="H2" t="s">
        <v>11</v>
      </c>
      <c r="I2">
        <f>F2*G2</f>
        <v>110000</v>
      </c>
      <c r="J2" t="str">
        <f>TEXT(B2,"mmm")</f>
        <v>Jan</v>
      </c>
      <c r="K2" t="str">
        <f>IF(I2&gt;5000,"High",IF(I2&gt;20000,"Medium","Low"))</f>
        <v>High</v>
      </c>
    </row>
    <row r="3" spans="1:11" x14ac:dyDescent="0.3">
      <c r="A3">
        <v>1002</v>
      </c>
      <c r="B3" s="1">
        <v>45297</v>
      </c>
      <c r="C3" t="s">
        <v>12</v>
      </c>
      <c r="D3" t="s">
        <v>13</v>
      </c>
      <c r="E3" t="s">
        <v>10</v>
      </c>
      <c r="F3">
        <v>1</v>
      </c>
      <c r="G3">
        <v>20000</v>
      </c>
      <c r="H3" t="s">
        <v>14</v>
      </c>
      <c r="I3">
        <f t="shared" ref="I3:I21" si="0">F3*G3</f>
        <v>20000</v>
      </c>
      <c r="J3" t="str">
        <f t="shared" ref="J3:J21" si="1">TEXT(B3,"mmm")</f>
        <v>Jan</v>
      </c>
      <c r="K3" t="str">
        <f t="shared" ref="K3:K21" si="2">IF(I3&gt;5000,"High",IF(I3&gt;20000,"Medium","Low"))</f>
        <v>High</v>
      </c>
    </row>
    <row r="4" spans="1:11" x14ac:dyDescent="0.3">
      <c r="A4">
        <v>1003</v>
      </c>
      <c r="B4" s="1">
        <v>45298</v>
      </c>
      <c r="C4" t="s">
        <v>15</v>
      </c>
      <c r="D4" t="s">
        <v>16</v>
      </c>
      <c r="E4" t="s">
        <v>17</v>
      </c>
      <c r="F4">
        <v>3</v>
      </c>
      <c r="G4">
        <v>5000</v>
      </c>
      <c r="H4" t="s">
        <v>18</v>
      </c>
      <c r="I4">
        <f t="shared" si="0"/>
        <v>15000</v>
      </c>
      <c r="J4" t="str">
        <f t="shared" si="1"/>
        <v>Jan</v>
      </c>
      <c r="K4" t="str">
        <f t="shared" si="2"/>
        <v>High</v>
      </c>
    </row>
    <row r="5" spans="1:11" x14ac:dyDescent="0.3">
      <c r="A5">
        <v>1004</v>
      </c>
      <c r="B5" s="1">
        <v>45299</v>
      </c>
      <c r="C5" t="s">
        <v>8</v>
      </c>
      <c r="D5" t="s">
        <v>19</v>
      </c>
      <c r="E5" t="s">
        <v>17</v>
      </c>
      <c r="F5">
        <v>5</v>
      </c>
      <c r="G5">
        <v>1500</v>
      </c>
      <c r="H5" t="s">
        <v>20</v>
      </c>
      <c r="I5">
        <f t="shared" si="0"/>
        <v>7500</v>
      </c>
      <c r="J5" t="str">
        <f t="shared" si="1"/>
        <v>Jan</v>
      </c>
      <c r="K5" t="str">
        <f t="shared" si="2"/>
        <v>High</v>
      </c>
    </row>
    <row r="6" spans="1:11" x14ac:dyDescent="0.3">
      <c r="A6">
        <v>1005</v>
      </c>
      <c r="B6" s="1">
        <v>45300</v>
      </c>
      <c r="C6" t="s">
        <v>21</v>
      </c>
      <c r="D6" t="s">
        <v>22</v>
      </c>
      <c r="E6" t="s">
        <v>10</v>
      </c>
      <c r="F6">
        <v>4</v>
      </c>
      <c r="G6">
        <v>2000</v>
      </c>
      <c r="H6" t="s">
        <v>23</v>
      </c>
      <c r="I6">
        <f t="shared" si="0"/>
        <v>8000</v>
      </c>
      <c r="J6" t="str">
        <f t="shared" si="1"/>
        <v>Jan</v>
      </c>
      <c r="K6" t="str">
        <f t="shared" si="2"/>
        <v>High</v>
      </c>
    </row>
    <row r="7" spans="1:11" x14ac:dyDescent="0.3">
      <c r="A7">
        <v>1006</v>
      </c>
      <c r="B7" s="1">
        <v>45301</v>
      </c>
      <c r="C7" t="s">
        <v>12</v>
      </c>
      <c r="D7" t="s">
        <v>9</v>
      </c>
      <c r="E7" t="s">
        <v>10</v>
      </c>
      <c r="F7">
        <v>1</v>
      </c>
      <c r="G7">
        <v>60000</v>
      </c>
      <c r="H7" t="s">
        <v>24</v>
      </c>
      <c r="I7">
        <f t="shared" si="0"/>
        <v>60000</v>
      </c>
      <c r="J7" t="str">
        <f t="shared" si="1"/>
        <v>Jan</v>
      </c>
      <c r="K7" t="str">
        <f t="shared" si="2"/>
        <v>High</v>
      </c>
    </row>
    <row r="8" spans="1:11" x14ac:dyDescent="0.3">
      <c r="A8">
        <v>1007</v>
      </c>
      <c r="B8" s="1">
        <v>45302</v>
      </c>
      <c r="C8" t="s">
        <v>15</v>
      </c>
      <c r="D8" t="s">
        <v>13</v>
      </c>
      <c r="E8" t="s">
        <v>10</v>
      </c>
      <c r="F8">
        <v>2</v>
      </c>
      <c r="G8">
        <v>18000</v>
      </c>
      <c r="H8" t="s">
        <v>25</v>
      </c>
      <c r="I8">
        <f t="shared" si="0"/>
        <v>36000</v>
      </c>
      <c r="J8" t="str">
        <f t="shared" si="1"/>
        <v>Jan</v>
      </c>
      <c r="K8" t="str">
        <f t="shared" si="2"/>
        <v>High</v>
      </c>
    </row>
    <row r="9" spans="1:11" x14ac:dyDescent="0.3">
      <c r="A9">
        <v>1008</v>
      </c>
      <c r="B9" s="1">
        <v>45303</v>
      </c>
      <c r="C9" t="s">
        <v>21</v>
      </c>
      <c r="D9" t="s">
        <v>16</v>
      </c>
      <c r="E9" t="s">
        <v>17</v>
      </c>
      <c r="F9">
        <v>1</v>
      </c>
      <c r="G9">
        <v>7000</v>
      </c>
      <c r="H9" t="s">
        <v>26</v>
      </c>
      <c r="I9">
        <f t="shared" si="0"/>
        <v>7000</v>
      </c>
      <c r="J9" t="str">
        <f t="shared" si="1"/>
        <v>Jan</v>
      </c>
      <c r="K9" t="str">
        <f t="shared" si="2"/>
        <v>High</v>
      </c>
    </row>
    <row r="10" spans="1:11" x14ac:dyDescent="0.3">
      <c r="A10">
        <v>1009</v>
      </c>
      <c r="B10" s="1">
        <v>45304</v>
      </c>
      <c r="C10" t="s">
        <v>8</v>
      </c>
      <c r="D10" t="s">
        <v>19</v>
      </c>
      <c r="E10" t="s">
        <v>17</v>
      </c>
      <c r="F10">
        <v>6</v>
      </c>
      <c r="G10">
        <v>1200</v>
      </c>
      <c r="H10" t="s">
        <v>27</v>
      </c>
      <c r="I10">
        <f t="shared" si="0"/>
        <v>7200</v>
      </c>
      <c r="J10" t="str">
        <f t="shared" si="1"/>
        <v>Jan</v>
      </c>
      <c r="K10" t="str">
        <f t="shared" si="2"/>
        <v>High</v>
      </c>
    </row>
    <row r="11" spans="1:11" x14ac:dyDescent="0.3">
      <c r="A11">
        <v>1010</v>
      </c>
      <c r="B11" s="1">
        <v>45305</v>
      </c>
      <c r="C11" t="s">
        <v>12</v>
      </c>
      <c r="D11" t="s">
        <v>22</v>
      </c>
      <c r="E11" t="s">
        <v>10</v>
      </c>
      <c r="F11">
        <v>3</v>
      </c>
      <c r="G11">
        <v>2500</v>
      </c>
      <c r="H11" t="s">
        <v>28</v>
      </c>
      <c r="I11">
        <f t="shared" si="0"/>
        <v>7500</v>
      </c>
      <c r="J11" t="str">
        <f t="shared" si="1"/>
        <v>Jan</v>
      </c>
      <c r="K11" t="str">
        <f t="shared" si="2"/>
        <v>High</v>
      </c>
    </row>
    <row r="12" spans="1:11" x14ac:dyDescent="0.3">
      <c r="A12">
        <v>1011</v>
      </c>
      <c r="B12" s="1">
        <v>45323</v>
      </c>
      <c r="C12" t="s">
        <v>8</v>
      </c>
      <c r="D12" t="s">
        <v>9</v>
      </c>
      <c r="E12" t="s">
        <v>10</v>
      </c>
      <c r="F12">
        <v>1</v>
      </c>
      <c r="G12">
        <v>58000</v>
      </c>
      <c r="H12" t="s">
        <v>11</v>
      </c>
      <c r="I12">
        <f t="shared" si="0"/>
        <v>58000</v>
      </c>
      <c r="J12" t="str">
        <f t="shared" si="1"/>
        <v>Feb</v>
      </c>
      <c r="K12" t="str">
        <f t="shared" si="2"/>
        <v>High</v>
      </c>
    </row>
    <row r="13" spans="1:11" x14ac:dyDescent="0.3">
      <c r="A13">
        <v>1012</v>
      </c>
      <c r="B13" s="1">
        <v>45325</v>
      </c>
      <c r="C13" t="s">
        <v>12</v>
      </c>
      <c r="D13" t="s">
        <v>13</v>
      </c>
      <c r="E13" t="s">
        <v>10</v>
      </c>
      <c r="F13">
        <v>2</v>
      </c>
      <c r="G13">
        <v>21000</v>
      </c>
      <c r="H13" t="s">
        <v>14</v>
      </c>
      <c r="I13">
        <f t="shared" si="0"/>
        <v>42000</v>
      </c>
      <c r="J13" t="str">
        <f t="shared" si="1"/>
        <v>Feb</v>
      </c>
      <c r="K13" t="str">
        <f t="shared" si="2"/>
        <v>High</v>
      </c>
    </row>
    <row r="14" spans="1:11" x14ac:dyDescent="0.3">
      <c r="A14">
        <v>1013</v>
      </c>
      <c r="B14" s="1">
        <v>45327</v>
      </c>
      <c r="C14" t="s">
        <v>15</v>
      </c>
      <c r="D14" t="s">
        <v>16</v>
      </c>
      <c r="E14" t="s">
        <v>17</v>
      </c>
      <c r="F14">
        <v>2</v>
      </c>
      <c r="G14">
        <v>5500</v>
      </c>
      <c r="H14" t="s">
        <v>18</v>
      </c>
      <c r="I14">
        <f t="shared" si="0"/>
        <v>11000</v>
      </c>
      <c r="J14" t="str">
        <f t="shared" si="1"/>
        <v>Feb</v>
      </c>
      <c r="K14" t="str">
        <f t="shared" si="2"/>
        <v>High</v>
      </c>
    </row>
    <row r="15" spans="1:11" x14ac:dyDescent="0.3">
      <c r="A15">
        <v>1014</v>
      </c>
      <c r="B15" s="1">
        <v>45329</v>
      </c>
      <c r="C15" t="s">
        <v>21</v>
      </c>
      <c r="D15" t="s">
        <v>19</v>
      </c>
      <c r="E15" t="s">
        <v>17</v>
      </c>
      <c r="F15">
        <v>4</v>
      </c>
      <c r="G15">
        <v>1600</v>
      </c>
      <c r="H15" t="s">
        <v>20</v>
      </c>
      <c r="I15">
        <f t="shared" si="0"/>
        <v>6400</v>
      </c>
      <c r="J15" t="str">
        <f t="shared" si="1"/>
        <v>Feb</v>
      </c>
      <c r="K15" t="str">
        <f t="shared" si="2"/>
        <v>High</v>
      </c>
    </row>
    <row r="16" spans="1:11" x14ac:dyDescent="0.3">
      <c r="A16">
        <v>1015</v>
      </c>
      <c r="B16" s="1">
        <v>45331</v>
      </c>
      <c r="C16" t="s">
        <v>8</v>
      </c>
      <c r="D16" t="s">
        <v>22</v>
      </c>
      <c r="E16" t="s">
        <v>10</v>
      </c>
      <c r="F16">
        <v>5</v>
      </c>
      <c r="G16">
        <v>2200</v>
      </c>
      <c r="H16" t="s">
        <v>23</v>
      </c>
      <c r="I16">
        <f t="shared" si="0"/>
        <v>11000</v>
      </c>
      <c r="J16" t="str">
        <f t="shared" si="1"/>
        <v>Feb</v>
      </c>
      <c r="K16" t="str">
        <f t="shared" si="2"/>
        <v>High</v>
      </c>
    </row>
    <row r="17" spans="1:11" x14ac:dyDescent="0.3">
      <c r="A17">
        <v>1016</v>
      </c>
      <c r="B17" s="1">
        <v>45333</v>
      </c>
      <c r="C17" t="s">
        <v>12</v>
      </c>
      <c r="D17" t="s">
        <v>9</v>
      </c>
      <c r="E17" t="s">
        <v>10</v>
      </c>
      <c r="F17">
        <v>1</v>
      </c>
      <c r="G17">
        <v>62000</v>
      </c>
      <c r="H17" t="s">
        <v>24</v>
      </c>
      <c r="I17">
        <f t="shared" si="0"/>
        <v>62000</v>
      </c>
      <c r="J17" t="str">
        <f t="shared" si="1"/>
        <v>Feb</v>
      </c>
      <c r="K17" t="str">
        <f t="shared" si="2"/>
        <v>High</v>
      </c>
    </row>
    <row r="18" spans="1:11" x14ac:dyDescent="0.3">
      <c r="A18">
        <v>1017</v>
      </c>
      <c r="B18" s="1">
        <v>45335</v>
      </c>
      <c r="C18" t="s">
        <v>15</v>
      </c>
      <c r="D18" t="s">
        <v>13</v>
      </c>
      <c r="E18" t="s">
        <v>10</v>
      </c>
      <c r="F18">
        <v>3</v>
      </c>
      <c r="G18">
        <v>19000</v>
      </c>
      <c r="H18" t="s">
        <v>25</v>
      </c>
      <c r="I18">
        <f t="shared" si="0"/>
        <v>57000</v>
      </c>
      <c r="J18" t="str">
        <f t="shared" si="1"/>
        <v>Feb</v>
      </c>
      <c r="K18" t="str">
        <f t="shared" si="2"/>
        <v>High</v>
      </c>
    </row>
    <row r="19" spans="1:11" x14ac:dyDescent="0.3">
      <c r="A19">
        <v>1018</v>
      </c>
      <c r="B19" s="1">
        <v>45337</v>
      </c>
      <c r="C19" t="s">
        <v>21</v>
      </c>
      <c r="D19" t="s">
        <v>16</v>
      </c>
      <c r="E19" t="s">
        <v>17</v>
      </c>
      <c r="F19">
        <v>2</v>
      </c>
      <c r="G19">
        <v>7200</v>
      </c>
      <c r="H19" t="s">
        <v>26</v>
      </c>
      <c r="I19">
        <f t="shared" si="0"/>
        <v>14400</v>
      </c>
      <c r="J19" t="str">
        <f t="shared" si="1"/>
        <v>Feb</v>
      </c>
      <c r="K19" t="str">
        <f t="shared" si="2"/>
        <v>High</v>
      </c>
    </row>
    <row r="20" spans="1:11" x14ac:dyDescent="0.3">
      <c r="A20">
        <v>1019</v>
      </c>
      <c r="B20" s="1">
        <v>45339</v>
      </c>
      <c r="C20" t="s">
        <v>8</v>
      </c>
      <c r="D20" t="s">
        <v>19</v>
      </c>
      <c r="E20" t="s">
        <v>17</v>
      </c>
      <c r="F20">
        <v>3</v>
      </c>
      <c r="G20">
        <v>1300</v>
      </c>
      <c r="H20" t="s">
        <v>27</v>
      </c>
      <c r="I20">
        <f t="shared" si="0"/>
        <v>3900</v>
      </c>
      <c r="J20" t="str">
        <f t="shared" si="1"/>
        <v>Feb</v>
      </c>
      <c r="K20" t="str">
        <f t="shared" si="2"/>
        <v>Low</v>
      </c>
    </row>
    <row r="21" spans="1:11" x14ac:dyDescent="0.3">
      <c r="A21">
        <v>1020</v>
      </c>
      <c r="B21" s="1">
        <v>45341</v>
      </c>
      <c r="C21" t="s">
        <v>12</v>
      </c>
      <c r="D21" t="s">
        <v>22</v>
      </c>
      <c r="E21" t="s">
        <v>10</v>
      </c>
      <c r="F21">
        <v>4</v>
      </c>
      <c r="G21">
        <v>2600</v>
      </c>
      <c r="H21" t="s">
        <v>28</v>
      </c>
      <c r="I21">
        <f t="shared" si="0"/>
        <v>10400</v>
      </c>
      <c r="J21" t="str">
        <f t="shared" si="1"/>
        <v>Feb</v>
      </c>
      <c r="K21" t="str">
        <f t="shared" si="2"/>
        <v>High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Visualizations</vt:lpstr>
      <vt:lpstr>Sheet4</vt:lpstr>
      <vt:lpstr>Sheet5</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vyshnavi garapati</dc:creator>
  <cp:lastModifiedBy>vyshnavi garapati</cp:lastModifiedBy>
  <dcterms:created xsi:type="dcterms:W3CDTF">2026-04-07T04:25:30Z</dcterms:created>
  <dcterms:modified xsi:type="dcterms:W3CDTF">2026-04-07T06:45:25Z</dcterms:modified>
</cp:coreProperties>
</file>